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ohn\Documents\AI_Malware_Reserch\swarm-poc\datasets\"/>
    </mc:Choice>
  </mc:AlternateContent>
  <xr:revisionPtr revIDLastSave="0" documentId="13_ncr:1_{A9A7CE56-0F7B-494A-8A74-FA8CD6D12733}" xr6:coauthVersionLast="47" xr6:coauthVersionMax="47" xr10:uidLastSave="{00000000-0000-0000-0000-000000000000}"/>
  <bookViews>
    <workbookView xWindow="-108" yWindow="-108" windowWidth="30936" windowHeight="16776" xr2:uid="{00000000-000D-0000-FFFF-FFFF00000000}"/>
  </bookViews>
  <sheets>
    <sheet name="Summary" sheetId="1" r:id="rId1"/>
    <sheet name="Experiment design" sheetId="2" r:id="rId2"/>
    <sheet name="Cost model &amp; tiers" sheetId="3" r:id="rId3"/>
    <sheet name="Provenance &amp; limits" sheetId="4" r:id="rId4"/>
    <sheet name="exp1 Concurrency" sheetId="5" r:id="rId5"/>
    <sheet name="exp2 Delay" sheetId="6" r:id="rId6"/>
    <sheet name="exp4 Failover" sheetId="7" r:id="rId7"/>
    <sheet name="Recovery per fault" sheetId="8" r:id="rId8"/>
    <sheet name="exp7 Mode check" sheetId="9" r:id="rId9"/>
    <sheet name="exp1s Report scale" sheetId="10" r:id="rId10"/>
    <sheet name="Engine comparison" sheetId="11" r:id="rId11"/>
    <sheet name="All runs" sheetId="12" r:id="rId12"/>
    <sheet name="Data dictionary"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10" l="1"/>
  <c r="N12" i="10"/>
  <c r="N11" i="10"/>
  <c r="N10" i="10"/>
  <c r="N9" i="10"/>
  <c r="N8" i="10"/>
  <c r="N7" i="10"/>
  <c r="N6" i="10"/>
  <c r="N5" i="10"/>
  <c r="M10" i="9"/>
  <c r="M9" i="9"/>
  <c r="M8" i="9"/>
  <c r="M7" i="9"/>
  <c r="M6" i="9"/>
  <c r="M5" i="9"/>
  <c r="D28" i="6"/>
  <c r="D27" i="6"/>
  <c r="D26" i="6"/>
  <c r="D25" i="6"/>
  <c r="J20" i="6"/>
  <c r="J19" i="6"/>
  <c r="J18" i="6"/>
  <c r="J17" i="6"/>
  <c r="J16" i="6"/>
  <c r="J15" i="6"/>
  <c r="J14" i="6"/>
  <c r="J13" i="6"/>
  <c r="J12" i="6"/>
  <c r="J11" i="6"/>
  <c r="J10" i="6"/>
  <c r="J9" i="6"/>
  <c r="J8" i="6"/>
  <c r="J7" i="6"/>
  <c r="J6" i="6"/>
  <c r="J5" i="6"/>
  <c r="Q14" i="5"/>
  <c r="P14" i="5"/>
  <c r="O14" i="5"/>
  <c r="Q13" i="5"/>
  <c r="P13" i="5"/>
  <c r="O13" i="5"/>
  <c r="Q12" i="5"/>
  <c r="P12" i="5"/>
  <c r="O12" i="5"/>
  <c r="Q11" i="5"/>
  <c r="P11" i="5"/>
  <c r="O11" i="5"/>
  <c r="Q10" i="5"/>
  <c r="P10" i="5"/>
  <c r="O10" i="5"/>
  <c r="Q9" i="5"/>
  <c r="P9" i="5"/>
  <c r="O9" i="5"/>
  <c r="Q8" i="5"/>
  <c r="P8" i="5"/>
  <c r="O8" i="5"/>
  <c r="Q7" i="5"/>
  <c r="P7" i="5"/>
  <c r="O7" i="5"/>
  <c r="Q6" i="5"/>
  <c r="P6" i="5"/>
  <c r="O6" i="5"/>
  <c r="Q5" i="5"/>
  <c r="P5" i="5"/>
  <c r="O5" i="5"/>
  <c r="B13" i="1"/>
  <c r="B12" i="1"/>
  <c r="B11" i="1"/>
  <c r="B8" i="1"/>
  <c r="B7" i="1"/>
  <c r="B6" i="1"/>
  <c r="B5" i="1"/>
  <c r="C27" i="6" l="1"/>
  <c r="E27" i="6" s="1"/>
  <c r="F27" i="6" s="1"/>
  <c r="G27" i="6"/>
  <c r="C26" i="6"/>
  <c r="E26" i="6" s="1"/>
  <c r="F26" i="6" s="1"/>
  <c r="G26" i="6"/>
  <c r="C25" i="6"/>
  <c r="E25" i="6" s="1"/>
  <c r="F25" i="6" s="1"/>
  <c r="G25" i="6"/>
  <c r="G28" i="6"/>
  <c r="B10" i="1" s="1"/>
  <c r="C28" i="6"/>
  <c r="E28" i="6" s="1"/>
  <c r="F28" i="6" s="1"/>
  <c r="B9" i="1" s="1"/>
</calcChain>
</file>

<file path=xl/sharedStrings.xml><?xml version="1.0" encoding="utf-8"?>
<sst xmlns="http://schemas.openxmlformats.org/spreadsheetml/2006/main" count="1551" uniqueCount="665">
  <si>
    <t>Swarm PoC - network fault harness: results summary</t>
  </si>
  <si>
    <t>Every figure below is a formula over the data sheets, not a typed-in number. Full write-up: docs/findings.md</t>
  </si>
  <si>
    <t>Result</t>
  </si>
  <si>
    <t>Value</t>
  </si>
  <si>
    <t>Where from</t>
  </si>
  <si>
    <t>Concurrency: mean measured / closed-loop bound</t>
  </si>
  <si>
    <t>exp1. The bound tracks measurement across a 32x range of G.</t>
  </si>
  <si>
    <t>Concurrency: worst measured / closed-loop bound</t>
  </si>
  <si>
    <t>exp1</t>
  </si>
  <si>
    <t>Concurrency: total failed requests</t>
  </si>
  <si>
    <t>exp1. Zero across the whole sweep.</t>
  </si>
  <si>
    <t>Concurrency: peak measured throughput (tok/s)</t>
  </si>
  <si>
    <t>exp1. Against a capacity bound in column F.</t>
  </si>
  <si>
    <t>Delay: worst |slope error| vs predicted D</t>
  </si>
  <si>
    <t>exp2, over the per-depth |error| column.</t>
  </si>
  <si>
    <t>Delay: lowest R2 of the linear fit</t>
  </si>
  <si>
    <t>exp2. Latency is linear in per-hop delay with slope D.</t>
  </si>
  <si>
    <t>Mode check: median |error|, synthetic on nominal bandwidth</t>
  </si>
  <si>
    <t>exp7. Tier reference bandwidths are ratios, not achievable values.</t>
  </si>
  <si>
    <t>Mode check: median |error|, synthetic on fitted B_eff</t>
  </si>
  <si>
    <t>exp7. Good at G=1, degrades with concurrency: no CPU contention.</t>
  </si>
  <si>
    <t>Mode check: fitted effective bandwidth (GB/s)</t>
  </si>
  <si>
    <t>exp7. Against a tier-2 nominal of 45 GB/s.</t>
  </si>
  <si>
    <t>Read these with the limits in docs/findings.md</t>
  </si>
  <si>
    <t>- One host: all containers share its CPU and memory bandwidth; runs are therefore sequential.</t>
  </si>
  <si>
    <t>- Tier emulation preserves ratios, not absolute device speeds - exp7 measures the gap as 6.5x for tier 2.</t>
  </si>
  <si>
    <t>- Synthetic mode models neither CPU contention nor prefill cost, so it over-predicts throughput by 1.6-2.2x even calibrated.</t>
  </si>
  <si>
    <t>- Virtual-engine results are valid for latency, compute, network and aggregate queueing; not for queue-wait distribution or tail latency.</t>
  </si>
  <si>
    <t>- Predictions carry no fitted correction: the measured/predicted ratio is the harness's own cost, reported rather than subtracted out.</t>
  </si>
  <si>
    <t>Experiment design - what varied, what was held constant, and why</t>
  </si>
  <si>
    <t>Read this before the data sheets. Where a value had to be chosen rather than swept, the reason is given: a defaulted constant that happens to bind a result is the easiest way to draw a wrong conclusion from a sweep.</t>
  </si>
  <si>
    <t>sheet</t>
  </si>
  <si>
    <t>experiment (value in data)</t>
  </si>
  <si>
    <t>title</t>
  </si>
  <si>
    <t>question asked</t>
  </si>
  <si>
    <t>varied</t>
  </si>
  <si>
    <t>held constant</t>
  </si>
  <si>
    <t>runs</t>
  </si>
  <si>
    <t>engine</t>
  </si>
  <si>
    <t>mode</t>
  </si>
  <si>
    <t>design notes and why</t>
  </si>
  <si>
    <t>exp1 Concurrency</t>
  </si>
  <si>
    <t>1_concurrency</t>
  </si>
  <si>
    <t>Concurrency sweep</t>
  </si>
  <si>
    <t>How does throughput track the utilisation curve as concurrency rises, and where does the system stop scaling?</t>
  </si>
  <si>
    <t>G: 1, 2, 3, 4, 6, 8, 12, 16, 24, 32</t>
  </si>
  <si>
    <t>D=3, W=2, N=6, all tier 2; per-hop delay 5 ms; 500 Mbit/s; prompt 32, gen 8; no churn; hop timeout 2000 ms</t>
  </si>
  <si>
    <t>container</t>
  </si>
  <si>
    <t>synthetic</t>
  </si>
  <si>
    <t>N=6 so the sweep crosses G=N well inside the range. No churn: a stalled stream would show up as lost throughput that has nothing to do with G. The hop timeout is deliberately generous because a saturated closed-loop system's latency grows as G/X; a shorter one caused tokens to time out, retry, add load and collapse throughput to a fifth of the plateau.</t>
  </si>
  <si>
    <t>exp2 Delay</t>
  </si>
  <si>
    <t>2_delay</t>
  </si>
  <si>
    <t>Delay sweep</t>
  </si>
  <si>
    <t>How does per-hop latency accumulate with pipeline depth and link delay?</t>
  </si>
  <si>
    <t>D: 2, 3, 4, 6  crossed with  per-hop delay: 1, 5, 25, 50 ms</t>
  </si>
  <si>
    <t>W=1, G=1, all tier 2; 500 Mbit/s; prompt 32, gen 8; no churn</t>
  </si>
  <si>
    <t>W=1 and G=1 deliberately: replicas would let queueing confound the hop term, and any concurrency above 1 adds queue wait to the very quantity being decomposed. Total compute is fixed and split across D stages, so compute stays about 60 ms while the network term grows with D. Only the tier-2 link is swept, so the expected slope is D, not D+1: the gateway's entry hop is held fixed and lands in the intercept.</t>
  </si>
  <si>
    <t>exp4 Failover</t>
  </si>
  <si>
    <t>4_failover</t>
  </si>
  <si>
    <t>Disconnection and failover</t>
  </si>
  <si>
    <t>How fast is a node loss detected and routed around, and at what cost in failed requests?</t>
  </si>
  <si>
    <t>Arm W_x_heartbeat: W in {1,2,3} crossed with heartbeat in {250,500,1000} ms. Arm hop_timeout: timeout in {250,1000,2000,5000} ms at W=2, heartbeat 500 ms</t>
  </si>
  <si>
    <t>D=3, G=6, all tier 2; delay 5 ms; death_after = 4x heartbeat; one kill of a middle-stage replica at t=20 s; duration 50 s</t>
  </si>
  <si>
    <t>The victim is always a middle stage: stage 0 is reached directly from the gateway and the last stage reports back to it, so a middle stage is the case where an upstream worker has to discover the failure. The W=1 arm is the control and has the last-replica guard disabled, or the fault would be silently suppressed and the run would measure nothing. The second arm exists because bring-up showed recovery time tracking the client timeout rather than the detection threshold.</t>
  </si>
  <si>
    <t>exp7 Mode check</t>
  </si>
  <si>
    <t>7_mode_check</t>
  </si>
  <si>
    <t>Mode check (real vs synthetic)</t>
  </si>
  <si>
    <t>Do synthetic timings track real ones? This is the experiment that licenses every other synthetic result.</t>
  </si>
  <si>
    <t>G: 1, 2, 4  crossed with  arm: real, synthetic on nominal bandwidth, synthetic on fitted B_eff</t>
  </si>
  <si>
    <t>D=3, W=1, all tier 2; Qwen2.5-0.5B split 8/8/8 layers; CPU float32; greedy decoding; prompt 32, gen 8; hop timeout 30000 ms; duration 90 s</t>
  </si>
  <si>
    <t>real and synthetic</t>
  </si>
  <si>
    <t>Three phases in order: real runs first, then the effective memory bandwidth fitted from them, then synthetic arms on both the nominal and the fitted bandwidth. Comparing a real arm against a synthetic arm fed the tier table's nominal figure would measure that mismatch rather than synthetic mode's fidelity. The large timeout is required because the first token of each request is a prefill, roughly 32x a decode step.</t>
  </si>
  <si>
    <t>exp1s Report scale</t>
  </si>
  <si>
    <t>1s_concurrency_scale</t>
  </si>
  <si>
    <t>Concurrency at research-report scale</t>
  </si>
  <si>
    <t>Does the utilisation ramp hold at the research report's own scale, and where does it break?</t>
  </si>
  <si>
    <t>G: 1, 10, 50, 100, 250, 500, 1000, 1500, 2000</t>
  </si>
  <si>
    <t>D=50, W=20, N=1000, all tier 1; delay 1 ms; report_moe (1T MoE, 60B active, INT4); gen 4; no churn; per-hop logging off; duration 180 s</t>
  </si>
  <si>
    <t>virtual</t>
  </si>
  <si>
    <t>A reconstruction of the research report's appendix example A, whose figures were derived independently of this code, so agreement is a real check rather than a tautology. N=1000 is about 16x what this host can run as containers, so this is virtual-engine only and is trustworthy only on the axes the engine comparison validates. Per-hop logging is off: at D=50 it would be 51 rows per token.</t>
  </si>
  <si>
    <t>The cost model under test, and the emulated device tiers</t>
  </si>
  <si>
    <t>Everything this harness predicts derives from the expressions below. Measurements are compared against them, never fitted to them.</t>
  </si>
  <si>
    <t>Governing expressions</t>
  </si>
  <si>
    <t>quantity</t>
  </si>
  <si>
    <t>expression</t>
  </si>
  <si>
    <t>what it means, and what this harness measured about it</t>
  </si>
  <si>
    <t>T_token</t>
  </si>
  <si>
    <t>(P_a*b + s*q)/B + D*(l + a/beta)</t>
  </si>
  <si>
    <t>Per-token latency. The first term uses ONE device's bandwidth B, not the sum over devices: adding devices never shrinks it. Measured here: the D*(l + a/beta) term is confirmed to within 0.2% (experiment 2).</t>
  </si>
  <si>
    <t>X_max</t>
  </si>
  <si>
    <t>sum_i(B_i) / (P_a*b + s*q)</t>
  </si>
  <si>
    <t>Peak throughput: aggregate memory bandwidth divided by bytes read per token. Grows linearly with device count. Measured saturation reaches 0.86-0.98 of it depending on scale.</t>
  </si>
  <si>
    <t>X(G)</t>
  </si>
  <si>
    <t>X_max * min(1, G/N)</t>
  </si>
  <si>
    <t>The utilisation ramp. Measured here to be an UPPER BOUND, not a predictor: it assumes a stream computes continuously, so its slack is the network's share of per-token time. 32% optimistic at container scale (21% network), 1-2% at report scale (1.6% network).</t>
  </si>
  <si>
    <t>closed-loop rate</t>
  </si>
  <si>
    <t>min( G/T_token , W/max_k(compute_k) )</t>
  </si>
  <si>
    <t>Not in the research report; added here. The smaller of a delay bound and a capacity bound. Tracks measurement at 0.88 +/- 0.03 across a 32x range of G, where the ramp is 32% out.</t>
  </si>
  <si>
    <t>X_pipe</t>
  </si>
  <si>
    <t>1 / max_k(t_k),  t_k = (W_k*b + KV_k)/B_k + l</t>
  </si>
  <si>
    <t>A pipeline runs no faster than its slowest stage. This is where heterogeneity bites: equal sharding across tiers differing 100x in bandwidth lets the weakest node set the clock for everyone.</t>
  </si>
  <si>
    <t>stage availability</t>
  </si>
  <si>
    <t>1 - (1-p)^W</t>
  </si>
  <si>
    <t>A stage is usable while any one of its W replicas is reachable. Measured as a cliff rather than a slope: at W=1 a single kill failed over a thousand requests and never recovered; at W=2, zero to three.</t>
  </si>
  <si>
    <t>KV working set</t>
  </si>
  <si>
    <t>2*L*d*b_kv * s * G</t>
  </si>
  <si>
    <t>Scales with context length and concurrency, and competes with weights for the same scarce per-node memory. Not stressed by these experiments (short prompts), so no finding is offered on it.</t>
  </si>
  <si>
    <t>Symbols</t>
  </si>
  <si>
    <t>symbol</t>
  </si>
  <si>
    <t>units</t>
  </si>
  <si>
    <t>meaning</t>
  </si>
  <si>
    <t>N</t>
  </si>
  <si>
    <t>count</t>
  </si>
  <si>
    <t>Devices in the pool</t>
  </si>
  <si>
    <t>D, W</t>
  </si>
  <si>
    <t>Pipeline depth (stages) and replica width; N = D x W</t>
  </si>
  <si>
    <t>B_i</t>
  </si>
  <si>
    <t>bytes/s</t>
  </si>
  <si>
    <t>Device i's memory bandwidth - the governing resource, because decode is memory-bound, not compute-bound</t>
  </si>
  <si>
    <t>P, P_a</t>
  </si>
  <si>
    <t>Total and per-token active parameters (P_a much smaller than P for a sparse MoE)</t>
  </si>
  <si>
    <t>b</t>
  </si>
  <si>
    <t>bytes</t>
  </si>
  <si>
    <t>Bytes per parameter: 2 = FP16, 0.5 = INT4, 4 = FP32</t>
  </si>
  <si>
    <t>L, d</t>
  </si>
  <si>
    <t>Model layers and hidden dimension</t>
  </si>
  <si>
    <t>s, q</t>
  </si>
  <si>
    <t>tokens, bytes</t>
  </si>
  <si>
    <t>Context length and KV bytes per cached token</t>
  </si>
  <si>
    <t>a</t>
  </si>
  <si>
    <t>Activation payload crossing each hop, about 2*d*b</t>
  </si>
  <si>
    <t>l, beta</t>
  </si>
  <si>
    <t>seconds, bytes/s</t>
  </si>
  <si>
    <t>Per-hop link latency and link bandwidth</t>
  </si>
  <si>
    <t>G</t>
  </si>
  <si>
    <t>Concurrent independent token streams in flight</t>
  </si>
  <si>
    <t>p_i</t>
  </si>
  <si>
    <t>fraction</t>
  </si>
  <si>
    <t>Device availability: fraction of time reachable</t>
  </si>
  <si>
    <t>t_k</t>
  </si>
  <si>
    <t>seconds</t>
  </si>
  <si>
    <t>Service time of stage k for one token</t>
  </si>
  <si>
    <t>Model profiles</t>
  </si>
  <si>
    <t>profile</t>
  </si>
  <si>
    <t>total params P</t>
  </si>
  <si>
    <t>active params P_a</t>
  </si>
  <si>
    <t>bytes/param b</t>
  </si>
  <si>
    <t>layers L</t>
  </si>
  <si>
    <t>hidden d</t>
  </si>
  <si>
    <t>P_a*b (GB)</t>
  </si>
  <si>
    <t>notes</t>
  </si>
  <si>
    <t>report_moe</t>
  </si>
  <si>
    <t>1e12</t>
  </si>
  <si>
    <t>60e9</t>
  </si>
  <si>
    <t>The research report's appendix model: a 1T-parameter sparse MoE at INT4. Used for the report-scale virtual runs.</t>
  </si>
  <si>
    <t>poc_small</t>
  </si>
  <si>
    <t>50e9</t>
  </si>
  <si>
    <t>5.4e9</t>
  </si>
  <si>
    <t>Scaled so synthetic stage times land in the tens of milliseconds, the same order as the emulated hop delays (1-50 ms). The report's own model would give about 3 s per stage, making every container run network-trivial and absurdly slow to gather data from.</t>
  </si>
  <si>
    <t>qwen_0_5b</t>
  </si>
  <si>
    <t>494e6</t>
  </si>
  <si>
    <t>358e6</t>
  </si>
  <si>
    <t>Qwen2.5-0.5B-Instruct, used in real mode. active_params counts the 24 decoder layers only: the 136M tied embedding/output matrix sits on the gateway, not on a stage worker. Verified against the downloaded weights (1.432 GB in layers, 544 MB outside).</t>
  </si>
  <si>
    <t>Device tiers (emulated)</t>
  </si>
  <si>
    <t>tier</t>
  </si>
  <si>
    <t>stands for</t>
  </si>
  <si>
    <t>B (GB/s)</t>
  </si>
  <si>
    <t>availability p</t>
  </si>
  <si>
    <t>CPU cores</t>
  </si>
  <si>
    <t>memory (MB)</t>
  </si>
  <si>
    <t>link (Mbit/s)</t>
  </si>
  <si>
    <t>delay (ms)</t>
  </si>
  <si>
    <t>Gaming PC (GPU)</t>
  </si>
  <si>
    <t>Laptop / idle desktop (CPU)</t>
  </si>
  <si>
    <t>Single-board computer (Pi-class)</t>
  </si>
  <si>
    <t>Microcontroller / IoT node</t>
  </si>
  <si>
    <t>- Memory bandwidth and availability drive the cost model; the CPU, memory, link and delay columns are the single-host container emulation. These preserve the tiers' RATIOS, not absolute device speeds. Experiment 7 measures a tier-2 container's real effective bandwidth as 6.9 GB/s against the 45 GB/s nominal - 6.5x slower, and closer to the tier-1 reference than to the tier-2 one it was configured as. Availability and churn session lengths are this harness's own defaults: the research report gives them only qualitatively ("low, bursty" to "high").</t>
  </si>
  <si>
    <t>Provenance, method, and the limits on these numbers</t>
  </si>
  <si>
    <t>Taken from the run manifests.</t>
  </si>
  <si>
    <t>area</t>
  </si>
  <si>
    <t>item</t>
  </si>
  <si>
    <t>value</t>
  </si>
  <si>
    <t>Harness</t>
  </si>
  <si>
    <t>repository</t>
  </si>
  <si>
    <t>https://github.com/JohnBullDog/swarm-poc-network-fault-harness</t>
  </si>
  <si>
    <t>git commit at run time</t>
  </si>
  <si>
    <t>(uncommitted at run time)</t>
  </si>
  <si>
    <t>container image (synthetic)</t>
  </si>
  <si>
    <t>n/a</t>
  </si>
  <si>
    <t>run manifests</t>
  </si>
  <si>
    <t>Each run directory under runs/ carries a full manifest: resolved scenario, placement, predictions, fault schedule, suppressed faults, and host facts.</t>
  </si>
  <si>
    <t>Host</t>
  </si>
  <si>
    <t>platform</t>
  </si>
  <si>
    <t>Windows-11-10.0.26200-SP0</t>
  </si>
  <si>
    <t>python</t>
  </si>
  <si>
    <t>3.12.10</t>
  </si>
  <si>
    <t>docker</t>
  </si>
  <si>
    <t>docker CPUs</t>
  </si>
  <si>
    <t>docker memory (bytes)</t>
  </si>
  <si>
    <t>kernel</t>
  </si>
  <si>
    <t>WSL2 6.18; sch_netem, sch_tbf and sch_htb verified present and working inside containers before anything was built on them</t>
  </si>
  <si>
    <t>RAM</t>
  </si>
  <si>
    <t>16 GB total; WSL2 ceiling raised from 8 GB to 11 GB</t>
  </si>
  <si>
    <t>Method</t>
  </si>
  <si>
    <t>run ordering</t>
  </si>
  <si>
    <t>Sequential. Two concurrent runs would each measure the other's CPU and memory-bandwidth interference.</t>
  </si>
  <si>
    <t>clock</t>
  </si>
  <si>
    <t>All containers share the host's CLOCK_REALTIME and are given one RUN_EPOCH, so one-way hop times are measured directly with no clock synchronisation.</t>
  </si>
  <si>
    <t>network shaping</t>
  </si>
  <si>
    <t>tc netem (delay, jitter, loss) nested under tbf (rate cap), applied by each container to its own egress at startup. netem shapes EGRESS, so a hop A-&gt;B costs A's configured delay.</t>
  </si>
  <si>
    <t>activation flow</t>
  </si>
  <si>
    <t>Forward-only: gateway -&gt; s0 -&gt; ... -&gt; s(D-1) -&gt; gateway, giving D+1 hops. An earlier nested-HTTP version charged 2D hop delays, which would have doubled the delay sweep's slope.</t>
  </si>
  <si>
    <t>real model</t>
  </si>
  <si>
    <t>Qwen2.5-0.5B-Instruct, fetched once and bind-mounted read-only, greedy decoding so runs are reproducible and output is checkable.</t>
  </si>
  <si>
    <t>steady state</t>
  </si>
  <si>
    <t>Statistics exclude a warm-up interval and, where noted, fault windows. Nothing is deleted: rows carry in_steady_state and fault_window labels.</t>
  </si>
  <si>
    <t>Limits - these bound what any number here can mean</t>
  </si>
  <si>
    <t>- ONE HOST. Every container shares its CPU and memory bandwidth. The cgroup limits reduce but do not eliminate the interference.</t>
  </si>
  <si>
    <t>- TIERS PRESERVE RATIOS, NOT ABSOLUTE SPEEDS. Nothing here says what a Raspberry Pi would actually do. Experiment 7 measures the gap for tier 2 as 6.5x.</t>
  </si>
  <si>
    <t>- SYNTHETIC MODE MODELS NEITHER CPU CONTENTION NOR PREFILL COST. It over-predicts throughput by 1.6-2.2x even after bandwidth calibration, and its latency error grows with concurrency: 3.9% at G=1, 31% at G=4. Synthetic results speak to network and churn effects, not to a real deployment's absolute throughput.</t>
  </si>
  <si>
    <t>- VIRTUAL-ENGINE RESULTS are valid for per-token latency, stage compute, network time and AGGREGATE queueing (agreeing with containers to a few per cent) and over-predict throughput by 6-8%. They are NOT valid for queue-wait distribution or tail latency: deterministic service concentrates all waiting in a third of hops where real jitter smears it.</t>
  </si>
  <si>
    <t>- PREDICTIONS CARRY NO FITTED CORRECTION. The measured/predicted ratio is the harness's own cost, reported rather than subtracted out. An earlier fitted correction was removed after it proved circular and then load-dependent.</t>
  </si>
  <si>
    <t>- tc IS NOT A HOME NETWORK. It models delay and loss well, not the full behaviour of real links. The virtual engine's loss model charges one round trip per lost segment, which is TCP's best case, so its loss results are a lower bound on the real penalty.</t>
  </si>
  <si>
    <t>- NO INTEGRITY, SECURITY OR TRUST MODELLING. All containers are trusted. The research report's verification questions are explicitly out of scope for this harness.</t>
  </si>
  <si>
    <t>Experiment 1 - Concurrency sweep</t>
  </si>
  <si>
    <t>D=3, W=2, N=6 tier-2 nodes, poc_small, no churn. Blue = measured or predicted from the dataset; black = computed in-sheet.</t>
  </si>
  <si>
    <t>concurrency_G</t>
  </si>
  <si>
    <t>n_nodes_N</t>
  </si>
  <si>
    <t>meas_throughput_tok_s</t>
  </si>
  <si>
    <t>pred_x_of_g_tok_s</t>
  </si>
  <si>
    <t>pred_x_delay_bound_tok_s</t>
  </si>
  <si>
    <t>pred_x_capacity_compute_tok_s</t>
  </si>
  <si>
    <t>pred_x_closed_loop_tok_s</t>
  </si>
  <si>
    <t>meas_t_token_s_p50</t>
  </si>
  <si>
    <t>meas_t_token_s_p95</t>
  </si>
  <si>
    <t>pred_t_token_s</t>
  </si>
  <si>
    <t>mean_busy_frac</t>
  </si>
  <si>
    <t>requests_ok</t>
  </si>
  <si>
    <t>requests_failed</t>
  </si>
  <si>
    <t>run_id</t>
  </si>
  <si>
    <t>X / ramp</t>
  </si>
  <si>
    <t>X / closed-loop</t>
  </si>
  <si>
    <t>p50 (ms)</t>
  </si>
  <si>
    <t>exp1_concurrency_g01-20261029T191409Z</t>
  </si>
  <si>
    <t>exp1_concurrency_g02-20261029T191523Z</t>
  </si>
  <si>
    <t>exp1_concurrency_g03-20261029T191637Z</t>
  </si>
  <si>
    <t>exp1_concurrency_g04-20261029T191751Z</t>
  </si>
  <si>
    <t>exp1_concurrency_g06-20261029T191904Z</t>
  </si>
  <si>
    <t>exp1_concurrency_g08-20261029T192019Z</t>
  </si>
  <si>
    <t>exp1_concurrency_g12-20261029T192134Z</t>
  </si>
  <si>
    <t>exp1_concurrency_g16-20261029T192249Z</t>
  </si>
  <si>
    <t>exp1_concurrency_g24-20261029T192403Z</t>
  </si>
  <si>
    <t>exp1_concurrency_g32-20261029T192519Z</t>
  </si>
  <si>
    <t>Experiment 2 - Delay sweep</t>
  </si>
  <si>
    <t>W=1, G=1 so no queueing confounds the hop term. The slope of latency against per-hop delay should equal D: only the tier-2 link is swept, and tier-2 nodes send D of the path's D+1 hops.</t>
  </si>
  <si>
    <t>depth_D</t>
  </si>
  <si>
    <t>sweep_delay_ms</t>
  </si>
  <si>
    <t>pred_t_token_s_report</t>
  </si>
  <si>
    <t>latency_ratio_p50_over_pred</t>
  </si>
  <si>
    <t>tokens_steady</t>
  </si>
  <si>
    <t>exp2_delay_d2_l01ms-20261029T192644Z</t>
  </si>
  <si>
    <t>exp2_delay_d2_l05ms-20261029T192740Z</t>
  </si>
  <si>
    <t>exp2_delay_d2_l25ms-20261029T192837Z</t>
  </si>
  <si>
    <t>exp2_delay_d2_l50ms-20261029T192933Z</t>
  </si>
  <si>
    <t>exp2_delay_d3_l01ms-20261029T193028Z</t>
  </si>
  <si>
    <t>exp2_delay_d3_l05ms-20261029T193126Z</t>
  </si>
  <si>
    <t>exp2_delay_d3_l25ms-20261029T193222Z</t>
  </si>
  <si>
    <t>exp2_delay_d3_l50ms-20261029T193319Z</t>
  </si>
  <si>
    <t>exp2_delay_d4_l01ms-20261029T193416Z</t>
  </si>
  <si>
    <t>exp2_delay_d4_l05ms-20261029T193512Z</t>
  </si>
  <si>
    <t>exp2_delay_d4_l25ms-20261029T193609Z</t>
  </si>
  <si>
    <t>exp2_delay_d4_l50ms-20261029T193705Z</t>
  </si>
  <si>
    <t>exp2_delay_d6_l01ms-20261029T193803Z</t>
  </si>
  <si>
    <t>exp2_delay_d6_l05ms-20261029T193901Z</t>
  </si>
  <si>
    <t>exp2_delay_d6_l25ms-20261029T193959Z</t>
  </si>
  <si>
    <t>exp2_delay_d6_l50ms-20261029T194056Z</t>
  </si>
  <si>
    <t>Measured slope per depth (SLOPE of p50 in ms against delay in ms)</t>
  </si>
  <si>
    <t>depth D</t>
  </si>
  <si>
    <t>rows</t>
  </si>
  <si>
    <t>measured slope</t>
  </si>
  <si>
    <t>predicted slope (= D)</t>
  </si>
  <si>
    <t>error %</t>
  </si>
  <si>
    <t>|error| %</t>
  </si>
  <si>
    <t>R2</t>
  </si>
  <si>
    <t>5:8</t>
  </si>
  <si>
    <t>9:12</t>
  </si>
  <si>
    <t>13:16</t>
  </si>
  <si>
    <t>17:20</t>
  </si>
  <si>
    <t>Experiment 4 - Disconnection and failover</t>
  </si>
  <si>
    <t>One kill of a middle-stage replica at t=20 s. death_after = 4 x heartbeat. Arm W_x_heartbeat varies replica count and heartbeat; arm hop_timeout varies the client timeout at W=2, heartbeat 500 ms. A blank recovery means the stage never recovered (W=1: no replica).</t>
  </si>
  <si>
    <t>sweep_arm</t>
  </si>
  <si>
    <t>width_W</t>
  </si>
  <si>
    <t>heartbeat_ms</t>
  </si>
  <si>
    <t>death_after_ms</t>
  </si>
  <si>
    <t>sweep_hop_timeout_ms</t>
  </si>
  <si>
    <t>retries_total</t>
  </si>
  <si>
    <t>detection_s_mean</t>
  </si>
  <si>
    <t>recovery_s_mean</t>
  </si>
  <si>
    <t>W_x_heartbeat</t>
  </si>
  <si>
    <t>exp4_failover_w1_hb0250-20261029T194200Z</t>
  </si>
  <si>
    <t>exp4_failover_w1_hb0500-20261029T194303Z</t>
  </si>
  <si>
    <t>exp4_failover_w1_hb1000-20261029T194404Z</t>
  </si>
  <si>
    <t>exp4_failover_w2_hb0250-20261029T194506Z</t>
  </si>
  <si>
    <t>exp4_failover_w2_hb0500-20261029T194610Z</t>
  </si>
  <si>
    <t>exp4_failover_w2_hb1000-20261029T194714Z</t>
  </si>
  <si>
    <t>exp4_failover_w3_hb0250-20261029T194817Z</t>
  </si>
  <si>
    <t>exp4_failover_w3_hb0500-20261029T194922Z</t>
  </si>
  <si>
    <t>exp4_failover_w3_hb1000-20261029T195027Z</t>
  </si>
  <si>
    <t>hop_timeout</t>
  </si>
  <si>
    <t>exp4_timeout_t0250-20261029T195132Z</t>
  </si>
  <si>
    <t>exp4_timeout_t1000-20261029T195235Z</t>
  </si>
  <si>
    <t>exp4_timeout_t2000-20261029T195339Z</t>
  </si>
  <si>
    <t>exp4_timeout_t5000-20261029T195442Z</t>
  </si>
  <si>
    <t>Recovery - one row per injected fault</t>
  </si>
  <si>
    <t>detection_s: fault to the coordinator marking the node dead. recovery_s: fault to the first successful token routed around it AFTER detection. reroute_s: first token avoiding it at all, which under round-robin is near-instant and says little. stall_s: fault to the last error naming the node.</t>
  </si>
  <si>
    <t>node_id</t>
  </si>
  <si>
    <t>stage</t>
  </si>
  <si>
    <t>action</t>
  </si>
  <si>
    <t>fault_sim_ts</t>
  </si>
  <si>
    <t>detected_sim_ts</t>
  </si>
  <si>
    <t>first_ok_sim_ts</t>
  </si>
  <si>
    <t>detection_s</t>
  </si>
  <si>
    <t>recovery_s</t>
  </si>
  <si>
    <t>reroute_s</t>
  </si>
  <si>
    <t>stall_s</t>
  </si>
  <si>
    <t>tokens_failed_between</t>
  </si>
  <si>
    <t>scheduled_at_s</t>
  </si>
  <si>
    <t>apply_ms</t>
  </si>
  <si>
    <t>n-s1-r0</t>
  </si>
  <si>
    <t>kill</t>
  </si>
  <si>
    <t>Experiment 7 - Mode check: does synthetic timing track real?</t>
  </si>
  <si>
    <t>Qwen2.5-0.5B split 8/8/8 layers over three tier-2 containers, CPU float32, greedy decoding. 'nominal' uses the tier-2 reference bandwidth of 45 GB/s; 'calibrated' uses B_eff fitted from the real runs. This experiment is what licenses every synthetic result.</t>
  </si>
  <si>
    <t>arm</t>
  </si>
  <si>
    <t>real_run</t>
  </si>
  <si>
    <t>synthetic_run</t>
  </si>
  <si>
    <t>real_p50_ms</t>
  </si>
  <si>
    <t>synthetic_p50_ms</t>
  </si>
  <si>
    <t>p50_rel_err</t>
  </si>
  <si>
    <t>real_throughput_tok_s</t>
  </si>
  <si>
    <t>synthetic_throughput_tok_s</t>
  </si>
  <si>
    <t>throughput_rel_err</t>
  </si>
  <si>
    <t>within_tolerance</t>
  </si>
  <si>
    <t>b_eff_gbs</t>
  </si>
  <si>
    <t>|p50 error|</t>
  </si>
  <si>
    <t>synthetic_calibrated</t>
  </si>
  <si>
    <t>exp7_real_g1-20261029T233751Z</t>
  </si>
  <si>
    <t>exp7_synthetic_calibrated_g1-20261029T234552Z</t>
  </si>
  <si>
    <t>exp7_real_g2-20261029T233956Z</t>
  </si>
  <si>
    <t>exp7_synthetic_calibrated_g2-20261029T234924Z</t>
  </si>
  <si>
    <t>exp7_real_g4-20261029T234200Z</t>
  </si>
  <si>
    <t>exp7_synthetic_calibrated_g4-20261029T235255Z</t>
  </si>
  <si>
    <t>synthetic_nominal</t>
  </si>
  <si>
    <t>exp7_synthetic_nominal_g1-20261029T234406Z</t>
  </si>
  <si>
    <t>exp7_synthetic_nominal_g2-20261029T234738Z</t>
  </si>
  <si>
    <t>exp7_synthetic_nominal_g4-20261029T235109Z</t>
  </si>
  <si>
    <t>Experiment 1s - Concurrency at report scale (virtual engine)</t>
  </si>
  <si>
    <t>Reconstruction of the research report's appendix example A: 1000 Pi-class nodes, 1T-param MoE at INT4 with 60B active, D=50, W=20. Virtual engine only - 1000 nodes is ~16x what this host runs as containers. Trustworthy only on the axes the engine comparison validates.</t>
  </si>
  <si>
    <t>pred_x_max_tok_s</t>
  </si>
  <si>
    <t>throughput_efficiency</t>
  </si>
  <si>
    <t>exp1s_scale_g0001-20261029T235751Z-virtual</t>
  </si>
  <si>
    <t>exp1s_scale_g0010-20261029T235757Z-virtual</t>
  </si>
  <si>
    <t>exp1s_scale_g0050-20261029T235803Z-virtual</t>
  </si>
  <si>
    <t>exp1s_scale_g0100-20261029T235814Z-virtual</t>
  </si>
  <si>
    <t>exp1s_scale_g0250-20261029T235831Z-virtual</t>
  </si>
  <si>
    <t>exp1s_scale_g0500-20261029T235906Z-virtual</t>
  </si>
  <si>
    <t>exp1s_scale_g1000-20261030T000013Z-virtual</t>
  </si>
  <si>
    <t>exp1s_scale_g1500-20261030T000229Z-virtual</t>
  </si>
  <si>
    <t>exp1s_scale_g2000-20261030T000458Z-virtual</t>
  </si>
  <si>
    <t>Engine agreement - virtual against containers</t>
  </si>
  <si>
    <t>The harness's own measured overhead is fitted per configuration and given to the virtual engine, so what remains is attributable to the engines' models rather than to containerisation. Queue wait is compared as a MEAN: the distributions have the same mass but different shapes, so their medians legitimately differ.</t>
  </si>
  <si>
    <t>experiment</t>
  </si>
  <si>
    <t>scenario</t>
  </si>
  <si>
    <t>container_run</t>
  </si>
  <si>
    <t>virtual_run</t>
  </si>
  <si>
    <t>tokens_container</t>
  </si>
  <si>
    <t>tokens_virtual</t>
  </si>
  <si>
    <t>fitted_stage_overhead_ms</t>
  </si>
  <si>
    <t>fitted_hop_overhead_ms</t>
  </si>
  <si>
    <t>stage_queue_median_ms_container</t>
  </si>
  <si>
    <t>stage_queue_median_ms_virtual</t>
  </si>
  <si>
    <t>t_token_p50_ms_container</t>
  </si>
  <si>
    <t>t_token_p50_ms_virtual</t>
  </si>
  <si>
    <t>t_token_p50_ms_rel_err</t>
  </si>
  <si>
    <t>t_token_p50_ms_within_tol</t>
  </si>
  <si>
    <t>throughput_tok_s_container</t>
  </si>
  <si>
    <t>throughput_tok_s_virtual</t>
  </si>
  <si>
    <t>throughput_tok_s_rel_err</t>
  </si>
  <si>
    <t>throughput_tok_s_within_tol</t>
  </si>
  <si>
    <t>stage_compute_ms_container</t>
  </si>
  <si>
    <t>stage_compute_ms_virtual</t>
  </si>
  <si>
    <t>stage_compute_ms_rel_err</t>
  </si>
  <si>
    <t>stage_compute_ms_within_tol</t>
  </si>
  <si>
    <t>stage_net_ms_container</t>
  </si>
  <si>
    <t>stage_net_ms_virtual</t>
  </si>
  <si>
    <t>stage_net_ms_rel_err</t>
  </si>
  <si>
    <t>stage_net_ms_within_tol</t>
  </si>
  <si>
    <t>stage_queue_ms_container</t>
  </si>
  <si>
    <t>stage_queue_ms_virtual</t>
  </si>
  <si>
    <t>stage_queue_ms_rel_err</t>
  </si>
  <si>
    <t>stage_queue_ms_within_tol</t>
  </si>
  <si>
    <t>exp1_concurrency_G01</t>
  </si>
  <si>
    <t>exp1_concurrency_g01-20261030T001155Z-cmp</t>
  </si>
  <si>
    <t>exp1_concurrency_G02</t>
  </si>
  <si>
    <t>exp1_concurrency_g02-20261030T001156Z-cmp</t>
  </si>
  <si>
    <t>exp1_concurrency_G03</t>
  </si>
  <si>
    <t>exp1_concurrency_g03-20261030T001157Z-cmp</t>
  </si>
  <si>
    <t>exp1_concurrency_G04</t>
  </si>
  <si>
    <t>exp1_concurrency_g04-20261030T001158Z-cmp</t>
  </si>
  <si>
    <t>exp1_concurrency_G06</t>
  </si>
  <si>
    <t>exp1_concurrency_g06-20261030T001200Z-cmp</t>
  </si>
  <si>
    <t>exp1_concurrency_G08</t>
  </si>
  <si>
    <t>exp1_concurrency_g08-20261030T001202Z-cmp</t>
  </si>
  <si>
    <t>exp1_concurrency_G12</t>
  </si>
  <si>
    <t>exp1_concurrency_g12-20261030T001205Z-cmp</t>
  </si>
  <si>
    <t>exp1_concurrency_G16</t>
  </si>
  <si>
    <t>exp1_concurrency_g16-20261030T001208Z-cmp</t>
  </si>
  <si>
    <t>exp1_concurrency_G24</t>
  </si>
  <si>
    <t>exp1_concurrency_g24-20261030T001211Z-cmp</t>
  </si>
  <si>
    <t>exp1_concurrency_G32</t>
  </si>
  <si>
    <t>exp1_concurrency_g32-20261030T001214Z-cmp</t>
  </si>
  <si>
    <t>exp2</t>
  </si>
  <si>
    <t>exp2_delay_D2_l01ms</t>
  </si>
  <si>
    <t>exp2_delay_d2_l01ms-20261030T001219Z-cmp</t>
  </si>
  <si>
    <t>exp2_delay_D2_l05ms</t>
  </si>
  <si>
    <t>exp2_delay_d2_l05ms-20261030T001220Z-cmp</t>
  </si>
  <si>
    <t>exp2_delay_D2_l25ms</t>
  </si>
  <si>
    <t>exp2_delay_d2_l25ms-20261030T001220Z-cmp</t>
  </si>
  <si>
    <t>exp2_delay_D2_l50ms</t>
  </si>
  <si>
    <t>exp2_delay_d2_l50ms-20261030T001221Z-cmp</t>
  </si>
  <si>
    <t>exp2_delay_D3_l01ms</t>
  </si>
  <si>
    <t>exp2_delay_d3_l01ms-20261030T001221Z-cmp</t>
  </si>
  <si>
    <t>exp2_delay_D3_l05ms</t>
  </si>
  <si>
    <t>exp2_delay_d3_l05ms-20261030T001222Z-cmp</t>
  </si>
  <si>
    <t>exp2_delay_D3_l25ms</t>
  </si>
  <si>
    <t>exp2_delay_d3_l25ms-20261030T001223Z-cmp</t>
  </si>
  <si>
    <t>exp2_delay_D3_l50ms</t>
  </si>
  <si>
    <t>exp2_delay_d3_l50ms-20261030T001223Z-cmp</t>
  </si>
  <si>
    <t>exp2_delay_D4_l01ms</t>
  </si>
  <si>
    <t>exp2_delay_d4_l01ms-20261030T001223Z-cmp</t>
  </si>
  <si>
    <t>exp2_delay_D4_l05ms</t>
  </si>
  <si>
    <t>exp2_delay_d4_l05ms-20261030T001224Z-cmp</t>
  </si>
  <si>
    <t>exp2_delay_D4_l25ms</t>
  </si>
  <si>
    <t>exp2_delay_d4_l25ms-20261030T001225Z-cmp</t>
  </si>
  <si>
    <t>exp2_delay_D4_l50ms</t>
  </si>
  <si>
    <t>exp2_delay_d4_l50ms-20261030T001225Z-cmp</t>
  </si>
  <si>
    <t>exp2_delay_D6_l01ms</t>
  </si>
  <si>
    <t>exp2_delay_d6_l01ms-20261030T001225Z-cmp</t>
  </si>
  <si>
    <t>exp2_delay_D6_l05ms</t>
  </si>
  <si>
    <t>exp2_delay_d6_l05ms-20261030T001226Z-cmp</t>
  </si>
  <si>
    <t>exp2_delay_D6_l25ms</t>
  </si>
  <si>
    <t>exp2_delay_d6_l25ms-20261030T001227Z-cmp</t>
  </si>
  <si>
    <t>exp2_delay_D6_l50ms</t>
  </si>
  <si>
    <t>exp2_delay_d6_l50ms-20261030T001227Z-cmp</t>
  </si>
  <si>
    <t>All runs - every experiment, every column</t>
  </si>
  <si>
    <t>One row per run, keyed by run_id. Every event table in datasets/ joins to this on run_id. Blank cells are columns that do not apply to that experiment (per-stage groups depend on depth; sweep_* on the axis varied).</t>
  </si>
  <si>
    <t>placement</t>
  </si>
  <si>
    <t>model_profile</t>
  </si>
  <si>
    <t>duration_s</t>
  </si>
  <si>
    <t>meas_t_token_s_mean</t>
  </si>
  <si>
    <t>failovers_total</t>
  </si>
  <si>
    <t>image_id</t>
  </si>
  <si>
    <t>seed</t>
  </si>
  <si>
    <t>prompt_tokens</t>
  </si>
  <si>
    <t>gen_tokens</t>
  </si>
  <si>
    <t>warmup_s</t>
  </si>
  <si>
    <t>churn_kind</t>
  </si>
  <si>
    <t>n_faults</t>
  </si>
  <si>
    <t>n_departures</t>
  </si>
  <si>
    <t>pred_x_pipe_tok_s</t>
  </si>
  <si>
    <t>pred_x_capacity_tok_s</t>
  </si>
  <si>
    <t>pred_entry_hop_s</t>
  </si>
  <si>
    <t>pred_slowest_stage</t>
  </si>
  <si>
    <t>steady_lo_s</t>
  </si>
  <si>
    <t>steady_hi_s</t>
  </si>
  <si>
    <t>steady_window_s</t>
  </si>
  <si>
    <t>tokens_total</t>
  </si>
  <si>
    <t>meas_t_token_s_p99</t>
  </si>
  <si>
    <t>requests_started</t>
  </si>
  <si>
    <t>hop_errors</t>
  </si>
  <si>
    <t>latency_ratio_meas_over_pred</t>
  </si>
  <si>
    <t>tokens_clean</t>
  </si>
  <si>
    <t>fault_window_s</t>
  </si>
  <si>
    <t>meas_throughput_tok_s_nofault</t>
  </si>
  <si>
    <t>meas_t_token_s_p50_nofault</t>
  </si>
  <si>
    <t>meas_t_token_s_mean_nofault</t>
  </si>
  <si>
    <t>stalled_tokens</t>
  </si>
  <si>
    <t>n_tier2</t>
  </si>
  <si>
    <t>stage0_compute_s_mean</t>
  </si>
  <si>
    <t>stage0_queue_wait_s_mean</t>
  </si>
  <si>
    <t>stage0_net_s_mean</t>
  </si>
  <si>
    <t>stage0_hops</t>
  </si>
  <si>
    <t>stage1_compute_s_mean</t>
  </si>
  <si>
    <t>stage1_queue_wait_s_mean</t>
  </si>
  <si>
    <t>stage1_net_s_mean</t>
  </si>
  <si>
    <t>stage1_hops</t>
  </si>
  <si>
    <t>stage2_compute_s_mean</t>
  </si>
  <si>
    <t>stage2_queue_wait_s_mean</t>
  </si>
  <si>
    <t>stage2_net_s_mean</t>
  </si>
  <si>
    <t>stage2_hops</t>
  </si>
  <si>
    <t>stage3_compute_s_mean</t>
  </si>
  <si>
    <t>stage3_queue_wait_s_mean</t>
  </si>
  <si>
    <t>stage3_net_s_mean</t>
  </si>
  <si>
    <t>stage3_hops</t>
  </si>
  <si>
    <t>sweep_concurrency_G</t>
  </si>
  <si>
    <t>sweep_depth_D</t>
  </si>
  <si>
    <t>stage4_compute_s_mean</t>
  </si>
  <si>
    <t>stage4_queue_wait_s_mean</t>
  </si>
  <si>
    <t>stage4_net_s_mean</t>
  </si>
  <si>
    <t>stage4_hops</t>
  </si>
  <si>
    <t>stage5_compute_s_mean</t>
  </si>
  <si>
    <t>stage5_queue_wait_s_mean</t>
  </si>
  <si>
    <t>stage5_net_s_mean</t>
  </si>
  <si>
    <t>stage5_hops</t>
  </si>
  <si>
    <t>stage6_compute_s_mean</t>
  </si>
  <si>
    <t>stage6_queue_wait_s_mean</t>
  </si>
  <si>
    <t>stage6_net_s_mean</t>
  </si>
  <si>
    <t>stage6_hops</t>
  </si>
  <si>
    <t>sweep_width_W</t>
  </si>
  <si>
    <t>sweep_heartbeat_ms</t>
  </si>
  <si>
    <t>n_tier1</t>
  </si>
  <si>
    <t>sweep_n_nodes</t>
  </si>
  <si>
    <t>capability_proportional</t>
  </si>
  <si>
    <t>sha256:01857acd68d2</t>
  </si>
  <si>
    <t>none</t>
  </si>
  <si>
    <t>exp4_failover_W1_hb0250</t>
  </si>
  <si>
    <t>schedule</t>
  </si>
  <si>
    <t>exp4_failover_W1_hb0500</t>
  </si>
  <si>
    <t>exp4_failover_W1_hb1000</t>
  </si>
  <si>
    <t>exp4_failover_W2_hb0250</t>
  </si>
  <si>
    <t>exp4_failover_W2_hb0500</t>
  </si>
  <si>
    <t>exp4_failover_W2_hb1000</t>
  </si>
  <si>
    <t>exp4_failover_W3_hb0250</t>
  </si>
  <si>
    <t>exp4_failover_W3_hb0500</t>
  </si>
  <si>
    <t>exp4_failover_W3_hb1000</t>
  </si>
  <si>
    <t>exp4_timeout_t0250</t>
  </si>
  <si>
    <t>exp4_timeout_t1000</t>
  </si>
  <si>
    <t>exp4_timeout_t2000</t>
  </si>
  <si>
    <t>exp4_timeout_t5000</t>
  </si>
  <si>
    <t>exp1s_scale_G0001</t>
  </si>
  <si>
    <t>exp1s_scale_G0010</t>
  </si>
  <si>
    <t>exp1s_scale_G0050</t>
  </si>
  <si>
    <t>exp1s_scale_G0100</t>
  </si>
  <si>
    <t>exp1s_scale_G0250</t>
  </si>
  <si>
    <t>exp1s_scale_G0500</t>
  </si>
  <si>
    <t>exp1s_scale_G1000</t>
  </si>
  <si>
    <t>exp1s_scale_G1500</t>
  </si>
  <si>
    <t>exp1s_scale_G2000</t>
  </si>
  <si>
    <t>Data dictionary - every column, with units</t>
  </si>
  <si>
    <t>All 99 columns of the 'All runs' sheet. Generated from the data and checked for completeness: the build fails if any column lacks an entry. Per-event tables (hop, token_done, membership, recovery) are documented in docs/data-dictionary.md.</t>
  </si>
  <si>
    <t>column</t>
  </si>
  <si>
    <t>group</t>
  </si>
  <si>
    <t>definition</t>
  </si>
  <si>
    <t>comparison</t>
  </si>
  <si>
    <t>ratio</t>
  </si>
  <si>
    <t>Measured MEAN / predicted. Contaminated by stalls; prefer the p50 ratio.</t>
  </si>
  <si>
    <t>Measured p50 / predicted T_token. Above the saturation knee this is not a model error: the prediction is unloaded latency and the measurement includes queueing.</t>
  </si>
  <si>
    <t>meas_throughput_tok_s / pred_x_max_tok_s. The report's 'throughput efficiency': the fraction of aggregate bandwidth converted into tokens.</t>
  </si>
  <si>
    <t>failover</t>
  </si>
  <si>
    <t>Mean interval from a fault being applied to the coordinator marking the node dead. Governed by the heartbeat interval and death threshold.</t>
  </si>
  <si>
    <t>Mean interval from a fault to the first successful token routed around it AFTER detection. Governed by the client hop timeout, not by detection. Blank when the stage never recovered (W=1).</t>
  </si>
  <si>
    <t>identity</t>
  </si>
  <si>
    <t>text</t>
  </si>
  <si>
    <t>Which planned experiment this run belongs to: 1_concurrency, 2_delay, 4_failover, 1s_concurrency_scale, 7_mode_check, or milestone.</t>
  </si>
  <si>
    <t>Docker image the containers ran. Lets a dataset spanning a rebuild be detected from the data rather than from memory.</t>
  </si>
  <si>
    <t>Unique identifier for one run. The join key: every per-event table in datasets/ carries this column.</t>
  </si>
  <si>
    <t>Scenario name, unique within an experiment. Encodes the sweep point, e.g. exp2_delay_D6_l25ms.</t>
  </si>
  <si>
    <t>Random seed. Fixes churn draws, replica selection order and (in the virtual engine) link jitter, so a run is repeatable.</t>
  </si>
  <si>
    <t>measurement</t>
  </si>
  <si>
    <t>Retries that excluded a named failed node and re-routed around it.</t>
  </si>
  <si>
    <t>Hop-level failures logged by workers or the gateway.</t>
  </si>
  <si>
    <t>fraction 0-1</t>
  </si>
  <si>
    <t>Mean fraction of the sample window a node's servers were busy. ~0.9 indicates saturation.</t>
  </si>
  <si>
    <t>Mean per-token latency. Carries multi-second stalls from fault windows, so it reports the stalls rather than the steady-state latency.</t>
  </si>
  <si>
    <t>Mean latency outside fault windows.</t>
  </si>
  <si>
    <t>Median per-token latency, gateway send to gateway receive. COMPARE THE MODEL AGAINST THIS, not the mean.</t>
  </si>
  <si>
    <t>Median latency outside fault windows.</t>
  </si>
  <si>
    <t>95th percentile latency.</t>
  </si>
  <si>
    <t>99th percentile latency. Where hop timeouts show up.</t>
  </si>
  <si>
    <t>tokens/second</t>
  </si>
  <si>
    <t>tokens_steady / steady_window_s.</t>
  </si>
  <si>
    <t>Throughput over the steady window with fault windows removed.</t>
  </si>
  <si>
    <t>Requests that exhausted their retries. The headline cost of a fault.</t>
  </si>
  <si>
    <t>Requests that generated every token.</t>
  </si>
  <si>
    <t>Requests begun.</t>
  </si>
  <si>
    <t>Token-level retry attempts across the run.</t>
  </si>
  <si>
    <t>Steady-state tokens whose latency exceeded 5x the median: the stall tail.</t>
  </si>
  <si>
    <t>Steady-state tokens outside any fault window.</t>
  </si>
  <si>
    <t>Tokens completed inside the steady-state window. The numerator of measured throughput.</t>
  </si>
  <si>
    <t>Tokens completed over the whole run.</t>
  </si>
  <si>
    <t>per-stage</t>
  </si>
  <si>
    <t>Mean service time at stage 0: time between starting and finishing the token, excluding queueing and network.</t>
  </si>
  <si>
    <t>Hop records observed at stage 0.</t>
  </si>
  <si>
    <t>Mean one-way network time into stage 0, from the sender's send instant to arrival, measured on the shared host clock. Includes the emulated link delay. Note this is the SENDER's egress delay, since netem shapes egress.</t>
  </si>
  <si>
    <t>Mean time a token waited at stage 0 for a free server before compute began.</t>
  </si>
  <si>
    <t>Mean service time at stage 1: time between starting and finishing the token, excluding queueing and network.</t>
  </si>
  <si>
    <t>Hop records observed at stage 1.</t>
  </si>
  <si>
    <t>Mean one-way network time into stage 1, from the sender's send instant to arrival, measured on the shared host clock. Includes the emulated link delay. Note this is the SENDER's egress delay, since netem shapes egress.</t>
  </si>
  <si>
    <t>Mean time a token waited at stage 1 for a free server before compute began.</t>
  </si>
  <si>
    <t>Mean service time at stage 2: time between starting and finishing the token, excluding queueing and network.</t>
  </si>
  <si>
    <t>Hop records observed at stage 2.</t>
  </si>
  <si>
    <t>Mean one-way network time into stage 2, from the sender's send instant to arrival, measured on the shared host clock. Includes the emulated link delay. Note this is the SENDER's egress delay, since netem shapes egress.</t>
  </si>
  <si>
    <t>Mean time a token waited at stage 2 for a free server before compute began.</t>
  </si>
  <si>
    <t>Mean service time at stage 3: time between starting and finishing the token, excluding queueing and network.</t>
  </si>
  <si>
    <t>Hop records observed at stage 3.</t>
  </si>
  <si>
    <t>Mean one-way network time into stage 3, from the sender's send instant to arrival, measured on the shared host clock. Includes the emulated link delay. Note this is the SENDER's egress delay, since netem shapes egress.</t>
  </si>
  <si>
    <t>Mean time a token waited at stage 3 for a free server before compute began.</t>
  </si>
  <si>
    <t>Mean service time at stage 4: time between starting and finishing the token, excluding queueing and network.</t>
  </si>
  <si>
    <t>Hop records observed at stage 4.</t>
  </si>
  <si>
    <t>Mean one-way network time into stage 4, from the sender's send instant to arrival, measured on the shared host clock. Includes the emulated link delay. Note this is the SENDER's egress delay, since netem shapes egress.</t>
  </si>
  <si>
    <t>Mean time a token waited at stage 4 for a free server before compute began.</t>
  </si>
  <si>
    <t>Mean service time at stage 5: time between starting and finishing the token, excluding queueing and network.</t>
  </si>
  <si>
    <t>Hop records observed at stage 5.</t>
  </si>
  <si>
    <t>Mean one-way network time into stage 5, from the sender's send instant to arrival, measured on the shared host clock. Includes the emulated link delay. Note this is the SENDER's egress delay, since netem shapes egress.</t>
  </si>
  <si>
    <t>Mean time a token waited at stage 5 for a free server before compute began.</t>
  </si>
  <si>
    <t>Mean service time at stage 6: time between starting and finishing the token, excluding queueing and network.</t>
  </si>
  <si>
    <t>Hop records observed at stage 6.</t>
  </si>
  <si>
    <t>Mean one-way network time into stage 6, from the sender's send instant to arrival, measured on the shared host clock. Includes the emulated link delay. Note this is the SENDER's egress delay, since netem shapes egress.</t>
  </si>
  <si>
    <t>Mean time a token waited at stage 6 for a free server before compute began.</t>
  </si>
  <si>
    <t>prediction</t>
  </si>
  <si>
    <t>The gateway -&gt; stage 0 hop. The difference between the two predictions above.</t>
  </si>
  <si>
    <t>Index of the stage with the largest predicted t_k.</t>
  </si>
  <si>
    <t>Predicted per-token latency over the full measurable path: the report's expression plus the gateway's entry hop. Carries NO fitted correction.</t>
  </si>
  <si>
    <t>The research report's expression as written: (P_a*b + s*q)/B + D*(l + a/beta), without the gateway entry hop.</t>
  </si>
  <si>
    <t>W/max_k(compute_k), compute only. A node is occupied for its compute; the activation's transit overlaps with it serving the next token. This is the bound the saturation plateau meets.</t>
  </si>
  <si>
    <t>W/max_k(t_k) with t_k as the report defines it, including the hop. Kept for reference.</t>
  </si>
  <si>
    <t>min(delay bound, compute capacity bound). The quantity measured throughput actually tracks.</t>
  </si>
  <si>
    <t>G/T_token. The rate G serial streams can sustain. Binds below the knee.</t>
  </si>
  <si>
    <t>Peak throughput, sum(B_i)/(P_a*b + s*q): aggregate memory bandwidth divided by bytes read per token.</t>
  </si>
  <si>
    <t>The report's utilisation ramp, X_max*min(1, G/N). An UPPER BOUND: it assumes a stream is computing continuously, so its slack is the network's share of per-token time.</t>
  </si>
  <si>
    <t>1/max_k(t_k), the single-pipeline straggler gate.</t>
  </si>
  <si>
    <t>setup</t>
  </si>
  <si>
    <t>none, schedule (an explicit fault list) or random (per-tier exponential up/down sessions).</t>
  </si>
  <si>
    <t>G, independent agent streams held in flight. Closed loop: a stream issues its next request the instant the last one finishes.</t>
  </si>
  <si>
    <t>milliseconds</t>
  </si>
  <si>
    <t>Heartbeat gap after which the coordinator marks a node dead and removes it from the routable replica set.</t>
  </si>
  <si>
    <t>D, pipeline stages. The model's layers are cut into D contiguous blocks; one token traverses all of them in order.</t>
  </si>
  <si>
    <t>Configured load duration, measured from the instant the load generator starts, not from container boot.</t>
  </si>
  <si>
    <t>container = real clock, real TCP shaped by tc netem/tbf, one Docker container per node. virtual = simulated clock, analytic link, no containers.</t>
  </si>
  <si>
    <t>Tokens generated per request.</t>
  </si>
  <si>
    <t>Interval at which each node heartbeats the coordinator.</t>
  </si>
  <si>
    <t>synthetic = the worker sleeps the cost model's predicted time. real = the worker runs a contiguous block of Qwen2.5-0.5B layers on CPU.</t>
  </si>
  <si>
    <t>Which model the cost model describes: report_moe (1T MoE, 60B active, P_a*b = 30 GB), poc_small (P_a*b = 2.7 GB), qwen_0_5b (P_a*b = 1.43 GB, real).</t>
  </si>
  <si>
    <t>Of those, events that took a node down (disconnect/pause/kill).</t>
  </si>
  <si>
    <t>Fault events in the resolved schedule.</t>
  </si>
  <si>
    <t>N = D x W, total worker nodes.</t>
  </si>
  <si>
    <t>Nodes drawn from tier 1 (Pi-class, 10 GB/s).</t>
  </si>
  <si>
    <t>Nodes drawn from tier 2 (laptop/desktop, 45 GB/s).</t>
  </si>
  <si>
    <t>capability_proportional = each stage's weight-bytes are proportional to its holders' bandwidth, equalising stage times. equal = every stage holds 1/D, letting the weakest node gate the pipeline.</t>
  </si>
  <si>
    <t>s, context length at request start. Drives the KV term s*q and, in real mode, the prefill cost.</t>
  </si>
  <si>
    <t>Leading interval excluded from steady-state statistics. Rows are labelled, never deleted.</t>
  </si>
  <si>
    <t>W, replicas per stage. Each replica holds the same block. Sets fault tolerance: a stage survives while one replica is reachable.</t>
  </si>
  <si>
    <t>sweep axis</t>
  </si>
  <si>
    <t>Which sub-sweep a row belongs to. W_x_heartbeat varies replica count against heartbeat interval; hop_timeout varies the client timeout at fixed W=2 and heartbeat 500 ms. Blank for runs where this axis was held fixed.</t>
  </si>
  <si>
    <t>Swept axis: concurrent streams. Blank for runs where this axis was held fixed.</t>
  </si>
  <si>
    <t>Swept axis: emulated one-way per-hop link delay. Blank for runs where this axis was held fixed.</t>
  </si>
  <si>
    <t>Swept axis: pipeline depth. Blank for runs where this axis was held fixed.</t>
  </si>
  <si>
    <t>Swept axis: heartbeat interval. Blank for runs where this axis was held fixed.</t>
  </si>
  <si>
    <t>Swept axis: how long the gateway waits for a token before retrying. Blank for runs where this axis was held fixed.</t>
  </si>
  <si>
    <t>Swept axis: pool size. Blank for runs where this axis was held fixed.</t>
  </si>
  <si>
    <t>Swept axis: replicas per stage. Blank for runs where this axis was held fixed.</t>
  </si>
  <si>
    <t>window</t>
  </si>
  <si>
    <t>Total simulated time inside a fault window (fault to recovery), excluded from the *_nofault figures.</t>
  </si>
  <si>
    <t>Simulated instant of the last token.</t>
  </si>
  <si>
    <t>Simulated instant steady state begins: run_start + warmup_s.</t>
  </si>
  <si>
    <t>steady_hi_s - steady_lo_s. The denominator of measured throughput.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</si>
</sst>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00000"/>
    <numFmt numFmtId="168" formatCode="0.0%"/>
  </numFmts>
  <fonts count="10" x14ac:knownFonts="1">
    <font>
      <sz val="11"/>
      <color theme="1"/>
      <name val="Calibri"/>
      <family val="2"/>
      <scheme val="minor"/>
    </font>
    <font>
      <b/>
      <sz val="14"/>
      <color rgb="FF1F3864"/>
      <name val="Arial"/>
    </font>
    <font>
      <i/>
      <sz val="9"/>
      <color rgb="FF555555"/>
      <name val="Arial"/>
    </font>
    <font>
      <b/>
      <sz val="10"/>
      <color rgb="FFFFFFFF"/>
      <name val="Arial"/>
    </font>
    <font>
      <sz val="10"/>
      <color rgb="FF0000FF"/>
      <name val="Arial"/>
    </font>
    <font>
      <sz val="10"/>
      <name val="Arial"/>
    </font>
    <font>
      <b/>
      <sz val="11"/>
      <name val="Arial"/>
    </font>
    <font>
      <b/>
      <sz val="11"/>
      <color rgb="FF1F3864"/>
      <name val="Arial"/>
    </font>
    <font>
      <b/>
      <sz val="11"/>
      <color rgb="FFC00000"/>
      <name val="Arial"/>
    </font>
    <font>
      <b/>
      <sz val="16"/>
      <color rgb="FF1F3864"/>
      <name val="Arial"/>
    </font>
  </fonts>
  <fills count="3">
    <fill>
      <patternFill patternType="none"/>
    </fill>
    <fill>
      <patternFill patternType="gray125"/>
    </fill>
    <fill>
      <patternFill patternType="solid">
        <fgColor rgb="FF1F3864"/>
      </patternFill>
    </fill>
  </fills>
  <borders count="2">
    <border>
      <left/>
      <right/>
      <top/>
      <bottom/>
      <diagonal/>
    </border>
    <border>
      <left/>
      <right/>
      <top/>
      <bottom style="thin">
        <color rgb="FFBFBFBF"/>
      </bottom>
      <diagonal/>
    </border>
  </borders>
  <cellStyleXfs count="1">
    <xf numFmtId="0" fontId="0" fillId="0" borderId="0"/>
  </cellStyleXfs>
  <cellXfs count="29">
    <xf numFmtId="0" fontId="0" fillId="0" borderId="0" xfId="0"/>
    <xf numFmtId="0" fontId="9" fillId="0" borderId="0" xfId="0" applyFont="1"/>
    <xf numFmtId="0" fontId="2" fillId="0" borderId="0" xfId="0" applyFont="1"/>
    <xf numFmtId="0" fontId="3" fillId="2" borderId="1" xfId="0" applyFont="1" applyFill="1" applyBorder="1" applyAlignment="1">
      <alignment horizontal="center" vertical="center" wrapText="1"/>
    </xf>
    <xf numFmtId="0" fontId="5" fillId="0" borderId="0" xfId="0" applyFont="1"/>
    <xf numFmtId="165" fontId="5" fillId="0" borderId="0" xfId="0" applyNumberFormat="1" applyFont="1"/>
    <xf numFmtId="0" fontId="2" fillId="0" borderId="0" xfId="0" applyFont="1" applyAlignment="1">
      <alignment vertical="top" wrapText="1"/>
    </xf>
    <xf numFmtId="1" fontId="5" fillId="0" borderId="0" xfId="0" applyNumberFormat="1" applyFont="1"/>
    <xf numFmtId="2" fontId="5" fillId="0" borderId="0" xfId="0" applyNumberFormat="1" applyFont="1"/>
    <xf numFmtId="10" fontId="5" fillId="0" borderId="0" xfId="0" applyNumberFormat="1" applyFont="1"/>
    <xf numFmtId="167" fontId="5" fillId="0" borderId="0" xfId="0" applyNumberFormat="1" applyFont="1"/>
    <xf numFmtId="168" fontId="5" fillId="0" borderId="0" xfId="0" applyNumberFormat="1" applyFont="1"/>
    <xf numFmtId="0" fontId="0" fillId="0" borderId="0" xfId="0" applyAlignment="1">
      <alignment vertical="top" wrapText="1"/>
    </xf>
    <xf numFmtId="0" fontId="6" fillId="0" borderId="0" xfId="0" applyFont="1"/>
    <xf numFmtId="0" fontId="1" fillId="0" borderId="0" xfId="0" applyFont="1"/>
    <xf numFmtId="0" fontId="5" fillId="0" borderId="0" xfId="0" applyFont="1" applyAlignment="1">
      <alignment vertical="top" wrapText="1"/>
    </xf>
    <xf numFmtId="0" fontId="4" fillId="0" borderId="0" xfId="0" applyFont="1" applyAlignment="1">
      <alignment vertical="top" wrapText="1"/>
    </xf>
    <xf numFmtId="0" fontId="7" fillId="0" borderId="0" xfId="0" applyFont="1"/>
    <xf numFmtId="0" fontId="8" fillId="0" borderId="0" xfId="0" applyFont="1"/>
    <xf numFmtId="0" fontId="4" fillId="0" borderId="0" xfId="0" applyFont="1"/>
    <xf numFmtId="2" fontId="4" fillId="0" borderId="0" xfId="0" applyNumberFormat="1" applyFont="1"/>
    <xf numFmtId="164" fontId="4" fillId="0" borderId="0" xfId="0" applyNumberFormat="1" applyFont="1"/>
    <xf numFmtId="165" fontId="4" fillId="0" borderId="0" xfId="0" applyNumberFormat="1" applyFont="1"/>
    <xf numFmtId="164" fontId="5" fillId="0" borderId="0" xfId="0" applyNumberFormat="1" applyFont="1"/>
    <xf numFmtId="166" fontId="4" fillId="0" borderId="0" xfId="0" applyNumberFormat="1" applyFont="1"/>
    <xf numFmtId="166" fontId="5" fillId="0" borderId="0" xfId="0" applyNumberFormat="1" applyFont="1"/>
    <xf numFmtId="168" fontId="4" fillId="0" borderId="0" xfId="0" applyNumberFormat="1" applyFont="1"/>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workbookViewId="0">
      <pane ySplit="4" topLeftCell="A5" activePane="bottomLeft" state="frozen"/>
      <selection pane="bottomLeft"/>
    </sheetView>
  </sheetViews>
  <sheetFormatPr defaultRowHeight="14.4" x14ac:dyDescent="0.3"/>
  <cols>
    <col min="1" max="1" width="56" customWidth="1"/>
    <col min="2" max="2" width="16" customWidth="1"/>
    <col min="3" max="3" width="88" customWidth="1"/>
  </cols>
  <sheetData>
    <row r="1" spans="1:3" ht="21" x14ac:dyDescent="0.4">
      <c r="A1" s="1" t="s">
        <v>0</v>
      </c>
    </row>
    <row r="2" spans="1:3" x14ac:dyDescent="0.3">
      <c r="A2" s="2" t="s">
        <v>1</v>
      </c>
    </row>
    <row r="4" spans="1:3" x14ac:dyDescent="0.3">
      <c r="A4" s="3" t="s">
        <v>2</v>
      </c>
      <c r="B4" s="3" t="s">
        <v>3</v>
      </c>
      <c r="C4" s="3" t="s">
        <v>4</v>
      </c>
    </row>
    <row r="5" spans="1:3" x14ac:dyDescent="0.3">
      <c r="A5" s="4" t="s">
        <v>5</v>
      </c>
      <c r="B5" s="5">
        <f>AVERAGE('exp1 Concurrency'!P5:P14)</f>
        <v>0.88012955544368909</v>
      </c>
      <c r="C5" s="6" t="s">
        <v>6</v>
      </c>
    </row>
    <row r="6" spans="1:3" x14ac:dyDescent="0.3">
      <c r="A6" s="4" t="s">
        <v>7</v>
      </c>
      <c r="B6" s="5">
        <f>MIN('exp1 Concurrency'!P5:P14)</f>
        <v>0.85543819550509781</v>
      </c>
      <c r="C6" s="6" t="s">
        <v>8</v>
      </c>
    </row>
    <row r="7" spans="1:3" x14ac:dyDescent="0.3">
      <c r="A7" s="4" t="s">
        <v>9</v>
      </c>
      <c r="B7" s="7">
        <f>SUM('exp1 Concurrency'!M5:M14)</f>
        <v>0</v>
      </c>
      <c r="C7" s="6" t="s">
        <v>10</v>
      </c>
    </row>
    <row r="8" spans="1:3" x14ac:dyDescent="0.3">
      <c r="A8" s="4" t="s">
        <v>11</v>
      </c>
      <c r="B8" s="8">
        <f>MAX('exp1 Concurrency'!C5:C14)</f>
        <v>92.212801280591322</v>
      </c>
      <c r="C8" s="6" t="s">
        <v>12</v>
      </c>
    </row>
    <row r="9" spans="1:3" x14ac:dyDescent="0.3">
      <c r="A9" s="4" t="s">
        <v>13</v>
      </c>
      <c r="B9" s="9">
        <f>MAX('exp2 Delay'!F25:F28)</f>
        <v>1.8886250217051703E-3</v>
      </c>
      <c r="C9" s="6" t="s">
        <v>14</v>
      </c>
    </row>
    <row r="10" spans="1:3" x14ac:dyDescent="0.3">
      <c r="A10" s="4" t="s">
        <v>15</v>
      </c>
      <c r="B10" s="10">
        <f>MIN('exp2 Delay'!G25:G28)</f>
        <v>0.99999076328568692</v>
      </c>
      <c r="C10" s="6" t="s">
        <v>16</v>
      </c>
    </row>
    <row r="11" spans="1:3" x14ac:dyDescent="0.3">
      <c r="A11" s="4" t="s">
        <v>17</v>
      </c>
      <c r="B11" s="11">
        <f>MEDIAN('exp7 Mode check'!M8:M10)</f>
        <v>0.80718135966447002</v>
      </c>
      <c r="C11" s="6" t="s">
        <v>18</v>
      </c>
    </row>
    <row r="12" spans="1:3" x14ac:dyDescent="0.3">
      <c r="A12" s="4" t="s">
        <v>19</v>
      </c>
      <c r="B12" s="11">
        <f>MEDIAN('exp7 Mode check'!M5:M7)</f>
        <v>0.20547303114588941</v>
      </c>
      <c r="C12" s="6" t="s">
        <v>20</v>
      </c>
    </row>
    <row r="13" spans="1:3" x14ac:dyDescent="0.3">
      <c r="A13" s="4" t="s">
        <v>21</v>
      </c>
      <c r="B13" s="8">
        <f>MAX('exp7 Mode check'!L5:L10)</f>
        <v>6.8997308777443864</v>
      </c>
      <c r="C13" s="6" t="s">
        <v>22</v>
      </c>
    </row>
    <row r="14" spans="1:3" x14ac:dyDescent="0.3">
      <c r="C14" s="12"/>
    </row>
    <row r="15" spans="1:3" x14ac:dyDescent="0.3">
      <c r="A15" s="13" t="s">
        <v>23</v>
      </c>
      <c r="C15" s="12"/>
    </row>
    <row r="16" spans="1:3" x14ac:dyDescent="0.3">
      <c r="A16" s="2" t="s">
        <v>24</v>
      </c>
      <c r="C16" s="12"/>
    </row>
    <row r="17" spans="1:3" x14ac:dyDescent="0.3">
      <c r="A17" s="2" t="s">
        <v>25</v>
      </c>
      <c r="C17" s="12"/>
    </row>
    <row r="18" spans="1:3" x14ac:dyDescent="0.3">
      <c r="A18" s="2" t="s">
        <v>26</v>
      </c>
      <c r="C18" s="12"/>
    </row>
    <row r="19" spans="1:3" x14ac:dyDescent="0.3">
      <c r="A19" s="2" t="s">
        <v>27</v>
      </c>
      <c r="C19" s="12"/>
    </row>
    <row r="20" spans="1:3" x14ac:dyDescent="0.3">
      <c r="A20" s="2" t="s">
        <v>28</v>
      </c>
      <c r="C20" s="1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workbookViewId="0">
      <pane ySplit="4" topLeftCell="A5" activePane="bottomLeft" state="frozen"/>
      <selection pane="bottomLeft"/>
    </sheetView>
  </sheetViews>
  <sheetFormatPr defaultRowHeight="14.4" x14ac:dyDescent="0.3"/>
  <cols>
    <col min="1" max="1" width="20" customWidth="1"/>
    <col min="2" max="2" width="22" customWidth="1"/>
    <col min="3" max="3" width="30" customWidth="1"/>
    <col min="4" max="4" width="46" customWidth="1"/>
    <col min="5" max="5" width="40" customWidth="1"/>
    <col min="6" max="6" width="44" customWidth="1"/>
    <col min="7" max="7" width="7" customWidth="1"/>
    <col min="8" max="8" width="11" customWidth="1"/>
    <col min="9" max="9" width="20" customWidth="1"/>
    <col min="10" max="10" width="86" customWidth="1"/>
  </cols>
  <sheetData>
    <row r="1" spans="1:10" ht="17.399999999999999" x14ac:dyDescent="0.3">
      <c r="A1" s="14" t="s">
        <v>29</v>
      </c>
    </row>
    <row r="2" spans="1:10" x14ac:dyDescent="0.3">
      <c r="A2" s="2" t="s">
        <v>30</v>
      </c>
    </row>
    <row r="4" spans="1:10" ht="26.4" x14ac:dyDescent="0.3">
      <c r="A4" s="3" t="s">
        <v>31</v>
      </c>
      <c r="B4" s="3" t="s">
        <v>32</v>
      </c>
      <c r="C4" s="3" t="s">
        <v>33</v>
      </c>
      <c r="D4" s="3" t="s">
        <v>34</v>
      </c>
      <c r="E4" s="3" t="s">
        <v>35</v>
      </c>
      <c r="F4" s="3" t="s">
        <v>36</v>
      </c>
      <c r="G4" s="3" t="s">
        <v>37</v>
      </c>
      <c r="H4" s="3" t="s">
        <v>38</v>
      </c>
      <c r="I4" s="3" t="s">
        <v>39</v>
      </c>
      <c r="J4" s="3" t="s">
        <v>40</v>
      </c>
    </row>
    <row r="5" spans="1:10" ht="150" customHeight="1" x14ac:dyDescent="0.3">
      <c r="A5" s="15" t="s">
        <v>41</v>
      </c>
      <c r="B5" s="15" t="s">
        <v>42</v>
      </c>
      <c r="C5" s="15" t="s">
        <v>43</v>
      </c>
      <c r="D5" s="15" t="s">
        <v>44</v>
      </c>
      <c r="E5" s="15" t="s">
        <v>45</v>
      </c>
      <c r="F5" s="15" t="s">
        <v>46</v>
      </c>
      <c r="G5" s="16">
        <v>10</v>
      </c>
      <c r="H5" s="15" t="s">
        <v>47</v>
      </c>
      <c r="I5" s="15" t="s">
        <v>48</v>
      </c>
      <c r="J5" s="15" t="s">
        <v>49</v>
      </c>
    </row>
    <row r="6" spans="1:10" ht="150" customHeight="1" x14ac:dyDescent="0.3">
      <c r="A6" s="15" t="s">
        <v>50</v>
      </c>
      <c r="B6" s="15" t="s">
        <v>51</v>
      </c>
      <c r="C6" s="15" t="s">
        <v>52</v>
      </c>
      <c r="D6" s="15" t="s">
        <v>53</v>
      </c>
      <c r="E6" s="15" t="s">
        <v>54</v>
      </c>
      <c r="F6" s="15" t="s">
        <v>55</v>
      </c>
      <c r="G6" s="16">
        <v>16</v>
      </c>
      <c r="H6" s="15" t="s">
        <v>47</v>
      </c>
      <c r="I6" s="15" t="s">
        <v>48</v>
      </c>
      <c r="J6" s="15" t="s">
        <v>56</v>
      </c>
    </row>
    <row r="7" spans="1:10" ht="150" customHeight="1" x14ac:dyDescent="0.3">
      <c r="A7" s="15" t="s">
        <v>57</v>
      </c>
      <c r="B7" s="15" t="s">
        <v>58</v>
      </c>
      <c r="C7" s="15" t="s">
        <v>59</v>
      </c>
      <c r="D7" s="15" t="s">
        <v>60</v>
      </c>
      <c r="E7" s="15" t="s">
        <v>61</v>
      </c>
      <c r="F7" s="15" t="s">
        <v>62</v>
      </c>
      <c r="G7" s="16">
        <v>13</v>
      </c>
      <c r="H7" s="15" t="s">
        <v>47</v>
      </c>
      <c r="I7" s="15" t="s">
        <v>48</v>
      </c>
      <c r="J7" s="15" t="s">
        <v>63</v>
      </c>
    </row>
    <row r="8" spans="1:10" ht="150" customHeight="1" x14ac:dyDescent="0.3">
      <c r="A8" s="15" t="s">
        <v>64</v>
      </c>
      <c r="B8" s="15" t="s">
        <v>65</v>
      </c>
      <c r="C8" s="15" t="s">
        <v>66</v>
      </c>
      <c r="D8" s="15" t="s">
        <v>67</v>
      </c>
      <c r="E8" s="15" t="s">
        <v>68</v>
      </c>
      <c r="F8" s="15" t="s">
        <v>69</v>
      </c>
      <c r="G8" s="16">
        <v>9</v>
      </c>
      <c r="H8" s="15" t="s">
        <v>47</v>
      </c>
      <c r="I8" s="15" t="s">
        <v>70</v>
      </c>
      <c r="J8" s="15" t="s">
        <v>71</v>
      </c>
    </row>
    <row r="9" spans="1:10" ht="150" customHeight="1" x14ac:dyDescent="0.3">
      <c r="A9" s="15" t="s">
        <v>72</v>
      </c>
      <c r="B9" s="15" t="s">
        <v>73</v>
      </c>
      <c r="C9" s="15" t="s">
        <v>74</v>
      </c>
      <c r="D9" s="15" t="s">
        <v>75</v>
      </c>
      <c r="E9" s="15" t="s">
        <v>76</v>
      </c>
      <c r="F9" s="15" t="s">
        <v>77</v>
      </c>
      <c r="G9" s="16">
        <v>9</v>
      </c>
      <c r="H9" s="15" t="s">
        <v>78</v>
      </c>
      <c r="I9" s="15" t="s">
        <v>48</v>
      </c>
      <c r="J9" s="15"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2"/>
  <sheetViews>
    <sheetView workbookViewId="0">
      <pane ySplit="36" topLeftCell="A37" activePane="bottomLeft" state="frozen"/>
      <selection pane="bottomLeft"/>
    </sheetView>
  </sheetViews>
  <sheetFormatPr defaultRowHeight="14.4" x14ac:dyDescent="0.3"/>
  <cols>
    <col min="1" max="1" width="20" customWidth="1"/>
    <col min="2" max="2" width="44" customWidth="1"/>
    <col min="3" max="3" width="92" customWidth="1"/>
    <col min="8" max="8" width="92" customWidth="1"/>
  </cols>
  <sheetData>
    <row r="1" spans="1:3" ht="17.399999999999999" x14ac:dyDescent="0.3">
      <c r="A1" s="14" t="s">
        <v>80</v>
      </c>
    </row>
    <row r="2" spans="1:3" x14ac:dyDescent="0.3">
      <c r="A2" s="2" t="s">
        <v>81</v>
      </c>
    </row>
    <row r="4" spans="1:3" x14ac:dyDescent="0.3">
      <c r="A4" s="17" t="s">
        <v>82</v>
      </c>
    </row>
    <row r="5" spans="1:3" x14ac:dyDescent="0.3">
      <c r="A5" s="3" t="s">
        <v>83</v>
      </c>
      <c r="B5" s="3" t="s">
        <v>84</v>
      </c>
      <c r="C5" s="3" t="s">
        <v>85</v>
      </c>
    </row>
    <row r="6" spans="1:3" ht="46.05" customHeight="1" x14ac:dyDescent="0.3">
      <c r="A6" s="15" t="s">
        <v>86</v>
      </c>
      <c r="B6" s="15" t="s">
        <v>87</v>
      </c>
      <c r="C6" s="15" t="s">
        <v>88</v>
      </c>
    </row>
    <row r="7" spans="1:3" ht="46.05" customHeight="1" x14ac:dyDescent="0.3">
      <c r="A7" s="15" t="s">
        <v>89</v>
      </c>
      <c r="B7" s="15" t="s">
        <v>90</v>
      </c>
      <c r="C7" s="15" t="s">
        <v>91</v>
      </c>
    </row>
    <row r="8" spans="1:3" ht="46.05" customHeight="1" x14ac:dyDescent="0.3">
      <c r="A8" s="15" t="s">
        <v>92</v>
      </c>
      <c r="B8" s="15" t="s">
        <v>93</v>
      </c>
      <c r="C8" s="15" t="s">
        <v>94</v>
      </c>
    </row>
    <row r="9" spans="1:3" ht="46.05" customHeight="1" x14ac:dyDescent="0.3">
      <c r="A9" s="15" t="s">
        <v>95</v>
      </c>
      <c r="B9" s="15" t="s">
        <v>96</v>
      </c>
      <c r="C9" s="15" t="s">
        <v>97</v>
      </c>
    </row>
    <row r="10" spans="1:3" ht="46.05" customHeight="1" x14ac:dyDescent="0.3">
      <c r="A10" s="15" t="s">
        <v>98</v>
      </c>
      <c r="B10" s="15" t="s">
        <v>99</v>
      </c>
      <c r="C10" s="15" t="s">
        <v>100</v>
      </c>
    </row>
    <row r="11" spans="1:3" ht="46.05" customHeight="1" x14ac:dyDescent="0.3">
      <c r="A11" s="15" t="s">
        <v>101</v>
      </c>
      <c r="B11" s="15" t="s">
        <v>102</v>
      </c>
      <c r="C11" s="15" t="s">
        <v>103</v>
      </c>
    </row>
    <row r="12" spans="1:3" ht="46.05" customHeight="1" x14ac:dyDescent="0.3">
      <c r="A12" s="15" t="s">
        <v>104</v>
      </c>
      <c r="B12" s="15" t="s">
        <v>105</v>
      </c>
      <c r="C12" s="15" t="s">
        <v>106</v>
      </c>
    </row>
    <row r="14" spans="1:3" x14ac:dyDescent="0.3">
      <c r="A14" s="17" t="s">
        <v>107</v>
      </c>
    </row>
    <row r="15" spans="1:3" x14ac:dyDescent="0.3">
      <c r="A15" s="3" t="s">
        <v>108</v>
      </c>
      <c r="B15" s="3" t="s">
        <v>109</v>
      </c>
      <c r="C15" s="3" t="s">
        <v>110</v>
      </c>
    </row>
    <row r="16" spans="1:3" ht="46.05" customHeight="1" x14ac:dyDescent="0.3">
      <c r="A16" s="15" t="s">
        <v>111</v>
      </c>
      <c r="B16" s="15" t="s">
        <v>112</v>
      </c>
      <c r="C16" s="15" t="s">
        <v>113</v>
      </c>
    </row>
    <row r="17" spans="1:8" ht="46.05" customHeight="1" x14ac:dyDescent="0.3">
      <c r="A17" s="15" t="s">
        <v>114</v>
      </c>
      <c r="B17" s="15" t="s">
        <v>112</v>
      </c>
      <c r="C17" s="15" t="s">
        <v>115</v>
      </c>
    </row>
    <row r="18" spans="1:8" ht="46.05" customHeight="1" x14ac:dyDescent="0.3">
      <c r="A18" s="15" t="s">
        <v>116</v>
      </c>
      <c r="B18" s="15" t="s">
        <v>117</v>
      </c>
      <c r="C18" s="15" t="s">
        <v>118</v>
      </c>
    </row>
    <row r="19" spans="1:8" ht="46.05" customHeight="1" x14ac:dyDescent="0.3">
      <c r="A19" s="15" t="s">
        <v>119</v>
      </c>
      <c r="B19" s="15" t="s">
        <v>112</v>
      </c>
      <c r="C19" s="15" t="s">
        <v>120</v>
      </c>
    </row>
    <row r="20" spans="1:8" ht="46.05" customHeight="1" x14ac:dyDescent="0.3">
      <c r="A20" s="15" t="s">
        <v>121</v>
      </c>
      <c r="B20" s="15" t="s">
        <v>122</v>
      </c>
      <c r="C20" s="15" t="s">
        <v>123</v>
      </c>
    </row>
    <row r="21" spans="1:8" ht="46.05" customHeight="1" x14ac:dyDescent="0.3">
      <c r="A21" s="15" t="s">
        <v>124</v>
      </c>
      <c r="B21" s="15" t="s">
        <v>112</v>
      </c>
      <c r="C21" s="15" t="s">
        <v>125</v>
      </c>
    </row>
    <row r="22" spans="1:8" ht="46.05" customHeight="1" x14ac:dyDescent="0.3">
      <c r="A22" s="15" t="s">
        <v>126</v>
      </c>
      <c r="B22" s="15" t="s">
        <v>127</v>
      </c>
      <c r="C22" s="15" t="s">
        <v>128</v>
      </c>
    </row>
    <row r="23" spans="1:8" ht="46.05" customHeight="1" x14ac:dyDescent="0.3">
      <c r="A23" s="15" t="s">
        <v>129</v>
      </c>
      <c r="B23" s="15" t="s">
        <v>122</v>
      </c>
      <c r="C23" s="15" t="s">
        <v>130</v>
      </c>
    </row>
    <row r="24" spans="1:8" ht="46.05" customHeight="1" x14ac:dyDescent="0.3">
      <c r="A24" s="15" t="s">
        <v>131</v>
      </c>
      <c r="B24" s="15" t="s">
        <v>132</v>
      </c>
      <c r="C24" s="15" t="s">
        <v>133</v>
      </c>
    </row>
    <row r="25" spans="1:8" ht="46.05" customHeight="1" x14ac:dyDescent="0.3">
      <c r="A25" s="15" t="s">
        <v>134</v>
      </c>
      <c r="B25" s="15" t="s">
        <v>112</v>
      </c>
      <c r="C25" s="15" t="s">
        <v>135</v>
      </c>
    </row>
    <row r="26" spans="1:8" ht="46.05" customHeight="1" x14ac:dyDescent="0.3">
      <c r="A26" s="15" t="s">
        <v>136</v>
      </c>
      <c r="B26" s="15" t="s">
        <v>137</v>
      </c>
      <c r="C26" s="15" t="s">
        <v>138</v>
      </c>
    </row>
    <row r="27" spans="1:8" ht="46.05" customHeight="1" x14ac:dyDescent="0.3">
      <c r="A27" s="15" t="s">
        <v>139</v>
      </c>
      <c r="B27" s="15" t="s">
        <v>140</v>
      </c>
      <c r="C27" s="15" t="s">
        <v>141</v>
      </c>
    </row>
    <row r="29" spans="1:8" x14ac:dyDescent="0.3">
      <c r="A29" s="17" t="s">
        <v>142</v>
      </c>
    </row>
    <row r="30" spans="1:8" ht="26.4" x14ac:dyDescent="0.3">
      <c r="A30" s="3" t="s">
        <v>143</v>
      </c>
      <c r="B30" s="3" t="s">
        <v>144</v>
      </c>
      <c r="C30" s="3" t="s">
        <v>145</v>
      </c>
      <c r="D30" s="3" t="s">
        <v>146</v>
      </c>
      <c r="E30" s="3" t="s">
        <v>147</v>
      </c>
      <c r="F30" s="3" t="s">
        <v>148</v>
      </c>
      <c r="G30" s="3" t="s">
        <v>149</v>
      </c>
      <c r="H30" s="3" t="s">
        <v>150</v>
      </c>
    </row>
    <row r="31" spans="1:8" ht="46.05" customHeight="1" x14ac:dyDescent="0.3">
      <c r="A31" s="15" t="s">
        <v>151</v>
      </c>
      <c r="B31" s="15" t="s">
        <v>152</v>
      </c>
      <c r="C31" s="15" t="s">
        <v>153</v>
      </c>
      <c r="D31" s="16">
        <v>0.5</v>
      </c>
      <c r="E31" s="16">
        <v>80</v>
      </c>
      <c r="F31" s="16">
        <v>8192</v>
      </c>
      <c r="G31" s="16">
        <v>30</v>
      </c>
      <c r="H31" s="15" t="s">
        <v>154</v>
      </c>
    </row>
    <row r="32" spans="1:8" ht="46.05" customHeight="1" x14ac:dyDescent="0.3">
      <c r="A32" s="15" t="s">
        <v>155</v>
      </c>
      <c r="B32" s="15" t="s">
        <v>156</v>
      </c>
      <c r="C32" s="15" t="s">
        <v>157</v>
      </c>
      <c r="D32" s="16">
        <v>0.5</v>
      </c>
      <c r="E32" s="16">
        <v>24</v>
      </c>
      <c r="F32" s="16">
        <v>2048</v>
      </c>
      <c r="G32" s="16">
        <v>2.7</v>
      </c>
      <c r="H32" s="15" t="s">
        <v>158</v>
      </c>
    </row>
    <row r="33" spans="1:8" ht="46.05" customHeight="1" x14ac:dyDescent="0.3">
      <c r="A33" s="15" t="s">
        <v>159</v>
      </c>
      <c r="B33" s="15" t="s">
        <v>160</v>
      </c>
      <c r="C33" s="15" t="s">
        <v>161</v>
      </c>
      <c r="D33" s="16">
        <v>4</v>
      </c>
      <c r="E33" s="16">
        <v>24</v>
      </c>
      <c r="F33" s="16">
        <v>896</v>
      </c>
      <c r="G33" s="16">
        <v>1.4319999999999999</v>
      </c>
      <c r="H33" s="15" t="s">
        <v>162</v>
      </c>
    </row>
    <row r="35" spans="1:8" x14ac:dyDescent="0.3">
      <c r="A35" s="17" t="s">
        <v>163</v>
      </c>
    </row>
    <row r="36" spans="1:8" ht="26.4" x14ac:dyDescent="0.3">
      <c r="A36" s="3" t="s">
        <v>164</v>
      </c>
      <c r="B36" s="3" t="s">
        <v>165</v>
      </c>
      <c r="C36" s="3" t="s">
        <v>166</v>
      </c>
      <c r="D36" s="3" t="s">
        <v>167</v>
      </c>
      <c r="E36" s="3" t="s">
        <v>168</v>
      </c>
      <c r="F36" s="3" t="s">
        <v>169</v>
      </c>
      <c r="G36" s="3" t="s">
        <v>170</v>
      </c>
      <c r="H36" s="3" t="s">
        <v>171</v>
      </c>
    </row>
    <row r="37" spans="1:8" ht="46.05" customHeight="1" x14ac:dyDescent="0.3">
      <c r="A37" s="16">
        <v>3</v>
      </c>
      <c r="B37" s="15" t="s">
        <v>172</v>
      </c>
      <c r="C37" s="16">
        <v>600</v>
      </c>
      <c r="D37" s="16">
        <v>0.97</v>
      </c>
      <c r="E37" s="16">
        <v>2</v>
      </c>
      <c r="F37" s="16">
        <v>4096</v>
      </c>
      <c r="G37" s="16">
        <v>1000</v>
      </c>
      <c r="H37" s="16">
        <v>1</v>
      </c>
    </row>
    <row r="38" spans="1:8" ht="46.05" customHeight="1" x14ac:dyDescent="0.3">
      <c r="A38" s="16">
        <v>2</v>
      </c>
      <c r="B38" s="15" t="s">
        <v>173</v>
      </c>
      <c r="C38" s="16">
        <v>45</v>
      </c>
      <c r="D38" s="16">
        <v>0.9</v>
      </c>
      <c r="E38" s="16">
        <v>1</v>
      </c>
      <c r="F38" s="16">
        <v>2048</v>
      </c>
      <c r="G38" s="16">
        <v>500</v>
      </c>
      <c r="H38" s="16">
        <v>5</v>
      </c>
    </row>
    <row r="39" spans="1:8" ht="46.05" customHeight="1" x14ac:dyDescent="0.3">
      <c r="A39" s="16">
        <v>1</v>
      </c>
      <c r="B39" s="15" t="s">
        <v>174</v>
      </c>
      <c r="C39" s="16">
        <v>10</v>
      </c>
      <c r="D39" s="16">
        <v>0.75</v>
      </c>
      <c r="E39" s="16">
        <v>0.5</v>
      </c>
      <c r="F39" s="16">
        <v>1024</v>
      </c>
      <c r="G39" s="16">
        <v>100</v>
      </c>
      <c r="H39" s="16">
        <v>10</v>
      </c>
    </row>
    <row r="40" spans="1:8" ht="46.05" customHeight="1" x14ac:dyDescent="0.3">
      <c r="A40" s="16">
        <v>0</v>
      </c>
      <c r="B40" s="15" t="s">
        <v>175</v>
      </c>
      <c r="C40" s="16">
        <v>3</v>
      </c>
      <c r="D40" s="16">
        <v>0.4</v>
      </c>
      <c r="E40" s="16">
        <v>0.1</v>
      </c>
      <c r="F40" s="16">
        <v>256</v>
      </c>
      <c r="G40" s="16">
        <v>10</v>
      </c>
      <c r="H40" s="16">
        <v>50</v>
      </c>
    </row>
    <row r="42" spans="1:8" ht="76.05" customHeight="1" x14ac:dyDescent="0.3">
      <c r="A42" s="27" t="s">
        <v>176</v>
      </c>
      <c r="B42" s="28"/>
      <c r="C42" s="28"/>
      <c r="D42" s="28"/>
      <c r="E42" s="28"/>
      <c r="F42" s="28"/>
      <c r="G42" s="28"/>
      <c r="H42" s="28"/>
    </row>
  </sheetData>
  <mergeCells count="1">
    <mergeCell ref="A42:H4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0"/>
  <sheetViews>
    <sheetView workbookViewId="0">
      <pane ySplit="4" topLeftCell="A5" activePane="bottomLeft" state="frozen"/>
      <selection pane="bottomLeft"/>
    </sheetView>
  </sheetViews>
  <sheetFormatPr defaultRowHeight="14.4" x14ac:dyDescent="0.3"/>
  <cols>
    <col min="1" max="1" width="16" customWidth="1"/>
    <col min="2" max="2" width="30" customWidth="1"/>
    <col min="3" max="3" width="96" customWidth="1"/>
  </cols>
  <sheetData>
    <row r="1" spans="1:3" ht="17.399999999999999" x14ac:dyDescent="0.3">
      <c r="A1" s="14" t="s">
        <v>177</v>
      </c>
    </row>
    <row r="2" spans="1:3" x14ac:dyDescent="0.3">
      <c r="A2" s="2" t="s">
        <v>178</v>
      </c>
    </row>
    <row r="4" spans="1:3" x14ac:dyDescent="0.3">
      <c r="A4" s="3" t="s">
        <v>179</v>
      </c>
      <c r="B4" s="3" t="s">
        <v>180</v>
      </c>
      <c r="C4" s="3" t="s">
        <v>181</v>
      </c>
    </row>
    <row r="5" spans="1:3" ht="31.95" customHeight="1" x14ac:dyDescent="0.3">
      <c r="A5" s="4" t="s">
        <v>182</v>
      </c>
      <c r="B5" s="4" t="s">
        <v>183</v>
      </c>
      <c r="C5" s="15" t="s">
        <v>184</v>
      </c>
    </row>
    <row r="6" spans="1:3" ht="31.95" customHeight="1" x14ac:dyDescent="0.3">
      <c r="A6" s="4" t="s">
        <v>182</v>
      </c>
      <c r="B6" s="4" t="s">
        <v>185</v>
      </c>
      <c r="C6" s="15" t="s">
        <v>186</v>
      </c>
    </row>
    <row r="7" spans="1:3" ht="31.95" customHeight="1" x14ac:dyDescent="0.3">
      <c r="A7" s="4" t="s">
        <v>182</v>
      </c>
      <c r="B7" s="4" t="s">
        <v>187</v>
      </c>
      <c r="C7" s="15" t="s">
        <v>188</v>
      </c>
    </row>
    <row r="8" spans="1:3" ht="31.95" customHeight="1" x14ac:dyDescent="0.3">
      <c r="A8" s="4" t="s">
        <v>182</v>
      </c>
      <c r="B8" s="4" t="s">
        <v>189</v>
      </c>
      <c r="C8" s="15" t="s">
        <v>190</v>
      </c>
    </row>
    <row r="9" spans="1:3" ht="31.95" customHeight="1" x14ac:dyDescent="0.3">
      <c r="A9" s="4" t="s">
        <v>191</v>
      </c>
      <c r="B9" s="4" t="s">
        <v>192</v>
      </c>
      <c r="C9" s="15" t="s">
        <v>193</v>
      </c>
    </row>
    <row r="10" spans="1:3" ht="31.95" customHeight="1" x14ac:dyDescent="0.3">
      <c r="A10" s="4" t="s">
        <v>191</v>
      </c>
      <c r="B10" s="4" t="s">
        <v>194</v>
      </c>
      <c r="C10" s="15" t="s">
        <v>195</v>
      </c>
    </row>
    <row r="11" spans="1:3" ht="31.95" customHeight="1" x14ac:dyDescent="0.3">
      <c r="A11" s="4" t="s">
        <v>191</v>
      </c>
      <c r="B11" s="4" t="s">
        <v>196</v>
      </c>
      <c r="C11" s="15"/>
    </row>
    <row r="12" spans="1:3" ht="31.95" customHeight="1" x14ac:dyDescent="0.3">
      <c r="A12" s="4" t="s">
        <v>191</v>
      </c>
      <c r="B12" s="4" t="s">
        <v>197</v>
      </c>
      <c r="C12" s="15"/>
    </row>
    <row r="13" spans="1:3" ht="31.95" customHeight="1" x14ac:dyDescent="0.3">
      <c r="A13" s="4" t="s">
        <v>191</v>
      </c>
      <c r="B13" s="4" t="s">
        <v>198</v>
      </c>
      <c r="C13" s="15"/>
    </row>
    <row r="14" spans="1:3" ht="31.95" customHeight="1" x14ac:dyDescent="0.3">
      <c r="A14" s="4" t="s">
        <v>191</v>
      </c>
      <c r="B14" s="4" t="s">
        <v>199</v>
      </c>
      <c r="C14" s="15" t="s">
        <v>200</v>
      </c>
    </row>
    <row r="15" spans="1:3" ht="31.95" customHeight="1" x14ac:dyDescent="0.3">
      <c r="A15" s="4" t="s">
        <v>191</v>
      </c>
      <c r="B15" s="4" t="s">
        <v>201</v>
      </c>
      <c r="C15" s="15" t="s">
        <v>202</v>
      </c>
    </row>
    <row r="16" spans="1:3" ht="31.95" customHeight="1" x14ac:dyDescent="0.3">
      <c r="A16" s="4" t="s">
        <v>203</v>
      </c>
      <c r="B16" s="4" t="s">
        <v>204</v>
      </c>
      <c r="C16" s="15" t="s">
        <v>205</v>
      </c>
    </row>
    <row r="17" spans="1:3" ht="31.95" customHeight="1" x14ac:dyDescent="0.3">
      <c r="A17" s="4" t="s">
        <v>203</v>
      </c>
      <c r="B17" s="4" t="s">
        <v>206</v>
      </c>
      <c r="C17" s="15" t="s">
        <v>207</v>
      </c>
    </row>
    <row r="18" spans="1:3" ht="31.95" customHeight="1" x14ac:dyDescent="0.3">
      <c r="A18" s="4" t="s">
        <v>203</v>
      </c>
      <c r="B18" s="4" t="s">
        <v>208</v>
      </c>
      <c r="C18" s="15" t="s">
        <v>209</v>
      </c>
    </row>
    <row r="19" spans="1:3" ht="31.95" customHeight="1" x14ac:dyDescent="0.3">
      <c r="A19" s="4" t="s">
        <v>203</v>
      </c>
      <c r="B19" s="4" t="s">
        <v>210</v>
      </c>
      <c r="C19" s="15" t="s">
        <v>211</v>
      </c>
    </row>
    <row r="20" spans="1:3" ht="31.95" customHeight="1" x14ac:dyDescent="0.3">
      <c r="A20" s="4" t="s">
        <v>203</v>
      </c>
      <c r="B20" s="4" t="s">
        <v>212</v>
      </c>
      <c r="C20" s="15" t="s">
        <v>213</v>
      </c>
    </row>
    <row r="21" spans="1:3" ht="31.95" customHeight="1" x14ac:dyDescent="0.3">
      <c r="A21" s="4" t="s">
        <v>203</v>
      </c>
      <c r="B21" s="4" t="s">
        <v>214</v>
      </c>
      <c r="C21" s="15" t="s">
        <v>215</v>
      </c>
    </row>
    <row r="23" spans="1:3" x14ac:dyDescent="0.3">
      <c r="A23" s="18" t="s">
        <v>216</v>
      </c>
    </row>
    <row r="24" spans="1:3" ht="43.95" customHeight="1" x14ac:dyDescent="0.3">
      <c r="A24" s="27" t="s">
        <v>217</v>
      </c>
      <c r="B24" s="28"/>
      <c r="C24" s="28"/>
    </row>
    <row r="25" spans="1:3" ht="43.95" customHeight="1" x14ac:dyDescent="0.3">
      <c r="A25" s="27" t="s">
        <v>218</v>
      </c>
      <c r="B25" s="28"/>
      <c r="C25" s="28"/>
    </row>
    <row r="26" spans="1:3" ht="43.95" customHeight="1" x14ac:dyDescent="0.3">
      <c r="A26" s="27" t="s">
        <v>219</v>
      </c>
      <c r="B26" s="28"/>
      <c r="C26" s="28"/>
    </row>
    <row r="27" spans="1:3" ht="43.95" customHeight="1" x14ac:dyDescent="0.3">
      <c r="A27" s="27" t="s">
        <v>220</v>
      </c>
      <c r="B27" s="28"/>
      <c r="C27" s="28"/>
    </row>
    <row r="28" spans="1:3" ht="43.95" customHeight="1" x14ac:dyDescent="0.3">
      <c r="A28" s="27" t="s">
        <v>221</v>
      </c>
      <c r="B28" s="28"/>
      <c r="C28" s="28"/>
    </row>
    <row r="29" spans="1:3" ht="43.95" customHeight="1" x14ac:dyDescent="0.3">
      <c r="A29" s="27" t="s">
        <v>222</v>
      </c>
      <c r="B29" s="28"/>
      <c r="C29" s="28"/>
    </row>
    <row r="30" spans="1:3" ht="43.95" customHeight="1" x14ac:dyDescent="0.3">
      <c r="A30" s="27" t="s">
        <v>223</v>
      </c>
      <c r="B30" s="28"/>
      <c r="C30" s="28"/>
    </row>
  </sheetData>
  <mergeCells count="7">
    <mergeCell ref="A24:C24"/>
    <mergeCell ref="A28:C28"/>
    <mergeCell ref="A25:C25"/>
    <mergeCell ref="A27:C27"/>
    <mergeCell ref="A30:C30"/>
    <mergeCell ref="A29:C29"/>
    <mergeCell ref="A26:C2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4"/>
  <sheetViews>
    <sheetView workbookViewId="0">
      <pane ySplit="4" topLeftCell="A5" activePane="bottomLeft" state="frozen"/>
      <selection pane="bottomLeft"/>
    </sheetView>
  </sheetViews>
  <sheetFormatPr defaultRowHeight="14.4" x14ac:dyDescent="0.3"/>
  <cols>
    <col min="1" max="1" width="30" customWidth="1"/>
    <col min="2" max="2" width="11" customWidth="1"/>
    <col min="3" max="3" width="23" customWidth="1"/>
    <col min="4" max="4" width="20" customWidth="1"/>
    <col min="5" max="5" width="26" customWidth="1"/>
    <col min="6" max="6" width="30" customWidth="1"/>
    <col min="7" max="7" width="26" customWidth="1"/>
    <col min="8" max="11" width="21" customWidth="1"/>
    <col min="12" max="12" width="13" customWidth="1"/>
    <col min="13" max="13" width="17" customWidth="1"/>
    <col min="14" max="14" width="30" customWidth="1"/>
    <col min="15" max="15" width="10" customWidth="1"/>
    <col min="16" max="16" width="17" customWidth="1"/>
    <col min="17" max="17" width="11" customWidth="1"/>
  </cols>
  <sheetData>
    <row r="1" spans="1:17" ht="17.399999999999999" x14ac:dyDescent="0.3">
      <c r="A1" s="14" t="s">
        <v>224</v>
      </c>
    </row>
    <row r="2" spans="1:17" x14ac:dyDescent="0.3">
      <c r="A2" s="2" t="s">
        <v>225</v>
      </c>
    </row>
    <row r="4" spans="1:17" ht="26.4" x14ac:dyDescent="0.3">
      <c r="A4" s="3" t="s">
        <v>226</v>
      </c>
      <c r="B4" s="3" t="s">
        <v>227</v>
      </c>
      <c r="C4" s="3" t="s">
        <v>228</v>
      </c>
      <c r="D4" s="3" t="s">
        <v>229</v>
      </c>
      <c r="E4" s="3" t="s">
        <v>230</v>
      </c>
      <c r="F4" s="3" t="s">
        <v>231</v>
      </c>
      <c r="G4" s="3" t="s">
        <v>232</v>
      </c>
      <c r="H4" s="3" t="s">
        <v>233</v>
      </c>
      <c r="I4" s="3" t="s">
        <v>234</v>
      </c>
      <c r="J4" s="3" t="s">
        <v>235</v>
      </c>
      <c r="K4" s="3" t="s">
        <v>236</v>
      </c>
      <c r="L4" s="3" t="s">
        <v>237</v>
      </c>
      <c r="M4" s="3" t="s">
        <v>238</v>
      </c>
      <c r="N4" s="3" t="s">
        <v>239</v>
      </c>
      <c r="O4" s="3" t="s">
        <v>240</v>
      </c>
      <c r="P4" s="3" t="s">
        <v>241</v>
      </c>
      <c r="Q4" s="3" t="s">
        <v>242</v>
      </c>
    </row>
    <row r="5" spans="1:17" x14ac:dyDescent="0.3">
      <c r="A5" s="19">
        <v>1</v>
      </c>
      <c r="B5" s="19">
        <v>6</v>
      </c>
      <c r="C5" s="20">
        <v>11.228493335345791</v>
      </c>
      <c r="D5" s="21">
        <v>16.64727118996079</v>
      </c>
      <c r="E5" s="21">
        <v>13.12601353826137</v>
      </c>
      <c r="F5" s="21">
        <v>99.883627139764783</v>
      </c>
      <c r="G5" s="21">
        <v>13.12601353826137</v>
      </c>
      <c r="H5" s="22">
        <v>8.4524154663085938E-2</v>
      </c>
      <c r="I5" s="22">
        <v>8.7335991859436024E-2</v>
      </c>
      <c r="J5" s="22">
        <v>7.6184593066666653E-2</v>
      </c>
      <c r="K5" s="22">
        <v>0.116100468503937</v>
      </c>
      <c r="L5" s="19">
        <v>88</v>
      </c>
      <c r="M5" s="19">
        <v>0</v>
      </c>
      <c r="N5" s="4" t="s">
        <v>243</v>
      </c>
      <c r="O5" s="5">
        <f t="shared" ref="O5:O14" si="0">C5/D5</f>
        <v>0.67449452869592119</v>
      </c>
      <c r="P5" s="5">
        <f t="shared" ref="P5:P14" si="1">C5/G5</f>
        <v>0.85543819550509781</v>
      </c>
      <c r="Q5" s="23">
        <f t="shared" ref="Q5:Q14" si="2">H5*1000</f>
        <v>84.524154663085938</v>
      </c>
    </row>
    <row r="6" spans="1:17" x14ac:dyDescent="0.3">
      <c r="A6" s="19">
        <v>2</v>
      </c>
      <c r="B6" s="19">
        <v>6</v>
      </c>
      <c r="C6" s="20">
        <v>22.564703495955929</v>
      </c>
      <c r="D6" s="21">
        <v>33.294542379921587</v>
      </c>
      <c r="E6" s="21">
        <v>26.25202707652274</v>
      </c>
      <c r="F6" s="21">
        <v>99.883627139764783</v>
      </c>
      <c r="G6" s="21">
        <v>26.25202707652274</v>
      </c>
      <c r="H6" s="22">
        <v>8.424067497253418E-2</v>
      </c>
      <c r="I6" s="22">
        <v>8.7430214881896964E-2</v>
      </c>
      <c r="J6" s="22">
        <v>7.6184593066666653E-2</v>
      </c>
      <c r="K6" s="22">
        <v>0.23439477821522309</v>
      </c>
      <c r="L6" s="19">
        <v>176</v>
      </c>
      <c r="M6" s="19">
        <v>0</v>
      </c>
      <c r="N6" s="4" t="s">
        <v>244</v>
      </c>
      <c r="O6" s="5">
        <f t="shared" si="0"/>
        <v>0.6777297984297771</v>
      </c>
      <c r="P6" s="5">
        <f t="shared" si="1"/>
        <v>0.85954137675469655</v>
      </c>
      <c r="Q6" s="23">
        <f t="shared" si="2"/>
        <v>84.24067497253418</v>
      </c>
    </row>
    <row r="7" spans="1:17" x14ac:dyDescent="0.3">
      <c r="A7" s="19">
        <v>3</v>
      </c>
      <c r="B7" s="19">
        <v>6</v>
      </c>
      <c r="C7" s="20">
        <v>33.759524445279091</v>
      </c>
      <c r="D7" s="21">
        <v>49.941813569882378</v>
      </c>
      <c r="E7" s="21">
        <v>39.378040614784119</v>
      </c>
      <c r="F7" s="21">
        <v>99.883627139764783</v>
      </c>
      <c r="G7" s="21">
        <v>39.378040614784119</v>
      </c>
      <c r="H7" s="22">
        <v>8.4113836288452148E-2</v>
      </c>
      <c r="I7" s="22">
        <v>8.940895795822143E-2</v>
      </c>
      <c r="J7" s="22">
        <v>7.6184593066666653E-2</v>
      </c>
      <c r="K7" s="22">
        <v>0.35081208519003931</v>
      </c>
      <c r="L7" s="19">
        <v>264</v>
      </c>
      <c r="M7" s="19">
        <v>0</v>
      </c>
      <c r="N7" s="4" t="s">
        <v>245</v>
      </c>
      <c r="O7" s="5">
        <f t="shared" si="0"/>
        <v>0.67597714284124266</v>
      </c>
      <c r="P7" s="5">
        <f t="shared" si="1"/>
        <v>0.85731854399592422</v>
      </c>
      <c r="Q7" s="23">
        <f t="shared" si="2"/>
        <v>84.113836288452148</v>
      </c>
    </row>
    <row r="8" spans="1:17" x14ac:dyDescent="0.3">
      <c r="A8" s="19">
        <v>4</v>
      </c>
      <c r="B8" s="19">
        <v>6</v>
      </c>
      <c r="C8" s="20">
        <v>44.944281080913832</v>
      </c>
      <c r="D8" s="21">
        <v>66.589084759843175</v>
      </c>
      <c r="E8" s="21">
        <v>52.504054153045487</v>
      </c>
      <c r="F8" s="21">
        <v>99.883627139764783</v>
      </c>
      <c r="G8" s="21">
        <v>52.504054153045487</v>
      </c>
      <c r="H8" s="22">
        <v>8.4147214889526367E-2</v>
      </c>
      <c r="I8" s="22">
        <v>9.1146373748779291E-2</v>
      </c>
      <c r="J8" s="22">
        <v>7.6184593066666653E-2</v>
      </c>
      <c r="K8" s="22">
        <v>0.46887611795543899</v>
      </c>
      <c r="L8" s="19">
        <v>352</v>
      </c>
      <c r="M8" s="19">
        <v>0</v>
      </c>
      <c r="N8" s="4" t="s">
        <v>246</v>
      </c>
      <c r="O8" s="5">
        <f t="shared" si="0"/>
        <v>0.67494967445501919</v>
      </c>
      <c r="P8" s="5">
        <f t="shared" si="1"/>
        <v>0.8560154412058264</v>
      </c>
      <c r="Q8" s="23">
        <f t="shared" si="2"/>
        <v>84.147214889526367</v>
      </c>
    </row>
    <row r="9" spans="1:17" x14ac:dyDescent="0.3">
      <c r="A9" s="19">
        <v>6</v>
      </c>
      <c r="B9" s="19">
        <v>6</v>
      </c>
      <c r="C9" s="20">
        <v>67.817708292260917</v>
      </c>
      <c r="D9" s="21">
        <v>99.883627139764769</v>
      </c>
      <c r="E9" s="21">
        <v>78.756081229568238</v>
      </c>
      <c r="F9" s="21">
        <v>99.883627139764783</v>
      </c>
      <c r="G9" s="21">
        <v>78.756081229568238</v>
      </c>
      <c r="H9" s="22">
        <v>8.3893299102783203E-2</v>
      </c>
      <c r="I9" s="22">
        <v>8.8438844680786124E-2</v>
      </c>
      <c r="J9" s="22">
        <v>7.6184593066666653E-2</v>
      </c>
      <c r="K9" s="22">
        <v>0.70002099869791667</v>
      </c>
      <c r="L9" s="19">
        <v>528</v>
      </c>
      <c r="M9" s="19">
        <v>0</v>
      </c>
      <c r="N9" s="4" t="s">
        <v>247</v>
      </c>
      <c r="O9" s="5">
        <f t="shared" si="0"/>
        <v>0.67896721649250102</v>
      </c>
      <c r="P9" s="5">
        <f t="shared" si="1"/>
        <v>0.86111075149330041</v>
      </c>
      <c r="Q9" s="23">
        <f t="shared" si="2"/>
        <v>83.893299102783203</v>
      </c>
    </row>
    <row r="10" spans="1:17" x14ac:dyDescent="0.3">
      <c r="A10" s="19">
        <v>8</v>
      </c>
      <c r="B10" s="19">
        <v>6</v>
      </c>
      <c r="C10" s="20">
        <v>88.869581325862143</v>
      </c>
      <c r="D10" s="21">
        <v>99.883627139764769</v>
      </c>
      <c r="E10" s="21">
        <v>105.008108306091</v>
      </c>
      <c r="F10" s="21">
        <v>99.883627139764783</v>
      </c>
      <c r="G10" s="21">
        <v>99.883627139764783</v>
      </c>
      <c r="H10" s="22">
        <v>8.5001111030578613E-2</v>
      </c>
      <c r="I10" s="22">
        <v>9.1685223579406741E-2</v>
      </c>
      <c r="J10" s="22">
        <v>7.6184593066666653E-2</v>
      </c>
      <c r="K10" s="22">
        <v>0.91141506937172767</v>
      </c>
      <c r="L10" s="19">
        <v>694</v>
      </c>
      <c r="M10" s="19">
        <v>0</v>
      </c>
      <c r="N10" s="4" t="s">
        <v>248</v>
      </c>
      <c r="O10" s="5">
        <f t="shared" si="0"/>
        <v>0.88973121892649198</v>
      </c>
      <c r="P10" s="5">
        <f t="shared" si="1"/>
        <v>0.88973121892649187</v>
      </c>
      <c r="Q10" s="23">
        <f t="shared" si="2"/>
        <v>85.001111030578613</v>
      </c>
    </row>
    <row r="11" spans="1:17" x14ac:dyDescent="0.3">
      <c r="A11" s="19">
        <v>12</v>
      </c>
      <c r="B11" s="19">
        <v>6</v>
      </c>
      <c r="C11" s="20">
        <v>89.546012486730021</v>
      </c>
      <c r="D11" s="21">
        <v>99.883627139764769</v>
      </c>
      <c r="E11" s="21">
        <v>157.5121624591365</v>
      </c>
      <c r="F11" s="21">
        <v>99.883627139764783</v>
      </c>
      <c r="G11" s="21">
        <v>99.883627139764783</v>
      </c>
      <c r="H11" s="22">
        <v>0.12789011001586911</v>
      </c>
      <c r="I11" s="22">
        <v>0.13188650608062741</v>
      </c>
      <c r="J11" s="22">
        <v>7.6184593066666653E-2</v>
      </c>
      <c r="K11" s="22">
        <v>0.9155024220779221</v>
      </c>
      <c r="L11" s="19">
        <v>696</v>
      </c>
      <c r="M11" s="19">
        <v>0</v>
      </c>
      <c r="N11" s="4" t="s">
        <v>249</v>
      </c>
      <c r="O11" s="5">
        <f t="shared" si="0"/>
        <v>0.89650341152940338</v>
      </c>
      <c r="P11" s="5">
        <f t="shared" si="1"/>
        <v>0.89650341152940327</v>
      </c>
      <c r="Q11" s="23">
        <f t="shared" si="2"/>
        <v>127.89011001586911</v>
      </c>
    </row>
    <row r="12" spans="1:17" x14ac:dyDescent="0.3">
      <c r="A12" s="19">
        <v>16</v>
      </c>
      <c r="B12" s="19">
        <v>6</v>
      </c>
      <c r="C12" s="20">
        <v>92.212801280591322</v>
      </c>
      <c r="D12" s="21">
        <v>99.883627139764769</v>
      </c>
      <c r="E12" s="21">
        <v>210.01621661218189</v>
      </c>
      <c r="F12" s="21">
        <v>99.883627139764783</v>
      </c>
      <c r="G12" s="21">
        <v>99.883627139764783</v>
      </c>
      <c r="H12" s="22">
        <v>0.1695966720581055</v>
      </c>
      <c r="I12" s="22">
        <v>0.1735338449478149</v>
      </c>
      <c r="J12" s="22">
        <v>7.6184593066666653E-2</v>
      </c>
      <c r="K12" s="22">
        <v>0.93289500787401569</v>
      </c>
      <c r="L12" s="19">
        <v>704</v>
      </c>
      <c r="M12" s="19">
        <v>0</v>
      </c>
      <c r="N12" s="4" t="s">
        <v>250</v>
      </c>
      <c r="O12" s="5">
        <f t="shared" si="0"/>
        <v>0.92320236980941983</v>
      </c>
      <c r="P12" s="5">
        <f t="shared" si="1"/>
        <v>0.92320236980941972</v>
      </c>
      <c r="Q12" s="23">
        <f t="shared" si="2"/>
        <v>169.5966720581055</v>
      </c>
    </row>
    <row r="13" spans="1:17" x14ac:dyDescent="0.3">
      <c r="A13" s="19">
        <v>24</v>
      </c>
      <c r="B13" s="19">
        <v>6</v>
      </c>
      <c r="C13" s="20">
        <v>89.876374466547887</v>
      </c>
      <c r="D13" s="21">
        <v>99.883627139764769</v>
      </c>
      <c r="E13" s="21">
        <v>315.02432491827301</v>
      </c>
      <c r="F13" s="21">
        <v>99.883627139764783</v>
      </c>
      <c r="G13" s="21">
        <v>99.883627139764783</v>
      </c>
      <c r="H13" s="22">
        <v>0.2552790641784668</v>
      </c>
      <c r="I13" s="22">
        <v>0.25910437107086182</v>
      </c>
      <c r="J13" s="22">
        <v>7.6184593066666653E-2</v>
      </c>
      <c r="K13" s="22">
        <v>0.92551232031250008</v>
      </c>
      <c r="L13" s="19">
        <v>696</v>
      </c>
      <c r="M13" s="19">
        <v>0</v>
      </c>
      <c r="N13" s="4" t="s">
        <v>251</v>
      </c>
      <c r="O13" s="5">
        <f t="shared" si="0"/>
        <v>0.89981088032361922</v>
      </c>
      <c r="P13" s="5">
        <f t="shared" si="1"/>
        <v>0.89981088032361911</v>
      </c>
      <c r="Q13" s="23">
        <f t="shared" si="2"/>
        <v>255.2790641784668</v>
      </c>
    </row>
    <row r="14" spans="1:17" x14ac:dyDescent="0.3">
      <c r="A14" s="19">
        <v>32</v>
      </c>
      <c r="B14" s="19">
        <v>6</v>
      </c>
      <c r="C14" s="20">
        <v>90.157295626623565</v>
      </c>
      <c r="D14" s="21">
        <v>99.883627139764769</v>
      </c>
      <c r="E14" s="21">
        <v>420.0324332243639</v>
      </c>
      <c r="F14" s="21">
        <v>99.883627139764783</v>
      </c>
      <c r="G14" s="21">
        <v>99.883627139764783</v>
      </c>
      <c r="H14" s="22">
        <v>0.33914065361022949</v>
      </c>
      <c r="I14" s="22">
        <v>0.34384386539459227</v>
      </c>
      <c r="J14" s="22">
        <v>7.6184593066666653E-2</v>
      </c>
      <c r="K14" s="22">
        <v>0.93330344094488193</v>
      </c>
      <c r="L14" s="19">
        <v>704</v>
      </c>
      <c r="M14" s="19">
        <v>0</v>
      </c>
      <c r="N14" s="4" t="s">
        <v>252</v>
      </c>
      <c r="O14" s="5">
        <f t="shared" si="0"/>
        <v>0.90262336489311323</v>
      </c>
      <c r="P14" s="5">
        <f t="shared" si="1"/>
        <v>0.90262336489311312</v>
      </c>
      <c r="Q14" s="23">
        <f t="shared" si="2"/>
        <v>339.14065361022949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workbookViewId="0">
      <pane ySplit="24" topLeftCell="A25" activePane="bottomLeft" state="frozen"/>
      <selection pane="bottomLeft"/>
    </sheetView>
  </sheetViews>
  <sheetFormatPr defaultRowHeight="14.4" x14ac:dyDescent="0.3"/>
  <cols>
    <col min="1" max="1" width="30" customWidth="1"/>
    <col min="2" max="2" width="16" customWidth="1"/>
    <col min="3" max="3" width="25" customWidth="1"/>
    <col min="4" max="6" width="23" customWidth="1"/>
    <col min="7" max="7" width="29" customWidth="1"/>
    <col min="8" max="8" width="15" customWidth="1"/>
    <col min="9" max="9" width="30" customWidth="1"/>
    <col min="10" max="10" width="11" customWidth="1"/>
  </cols>
  <sheetData>
    <row r="1" spans="1:10" ht="17.399999999999999" x14ac:dyDescent="0.3">
      <c r="A1" s="14" t="s">
        <v>253</v>
      </c>
    </row>
    <row r="2" spans="1:10" x14ac:dyDescent="0.3">
      <c r="A2" s="2" t="s">
        <v>254</v>
      </c>
    </row>
    <row r="4" spans="1:10" x14ac:dyDescent="0.3">
      <c r="A4" s="3" t="s">
        <v>255</v>
      </c>
      <c r="B4" s="3" t="s">
        <v>256</v>
      </c>
      <c r="C4" s="3" t="s">
        <v>233</v>
      </c>
      <c r="D4" s="3" t="s">
        <v>235</v>
      </c>
      <c r="E4" s="3" t="s">
        <v>257</v>
      </c>
      <c r="F4" s="3" t="s">
        <v>228</v>
      </c>
      <c r="G4" s="3" t="s">
        <v>258</v>
      </c>
      <c r="H4" s="3" t="s">
        <v>259</v>
      </c>
      <c r="I4" s="3" t="s">
        <v>239</v>
      </c>
      <c r="J4" s="3" t="s">
        <v>242</v>
      </c>
    </row>
    <row r="5" spans="1:10" x14ac:dyDescent="0.3">
      <c r="A5" s="19">
        <v>2</v>
      </c>
      <c r="B5" s="19">
        <v>1</v>
      </c>
      <c r="C5" s="24">
        <v>6.9268226623535156E-2</v>
      </c>
      <c r="D5" s="24">
        <v>6.3151825066666667E-2</v>
      </c>
      <c r="E5" s="24">
        <v>6.2135441066666658E-2</v>
      </c>
      <c r="F5" s="20">
        <v>13.83629905344009</v>
      </c>
      <c r="G5" s="22">
        <v>1.0968523324608861</v>
      </c>
      <c r="H5" s="19">
        <v>571</v>
      </c>
      <c r="I5" s="4" t="s">
        <v>260</v>
      </c>
      <c r="J5" s="8">
        <f t="shared" ref="J5:J20" si="0">C5*1000</f>
        <v>69.268226623535156</v>
      </c>
    </row>
    <row r="6" spans="1:10" x14ac:dyDescent="0.3">
      <c r="A6" s="19">
        <v>2</v>
      </c>
      <c r="B6" s="19">
        <v>5</v>
      </c>
      <c r="C6" s="24">
        <v>7.7233791351318359E-2</v>
      </c>
      <c r="D6" s="24">
        <v>7.115182506666666E-2</v>
      </c>
      <c r="E6" s="24">
        <v>7.0135441066666665E-2</v>
      </c>
      <c r="F6" s="20">
        <v>12.381958449129071</v>
      </c>
      <c r="G6" s="22">
        <v>1.0854787108967781</v>
      </c>
      <c r="H6" s="19">
        <v>512</v>
      </c>
      <c r="I6" s="4" t="s">
        <v>261</v>
      </c>
      <c r="J6" s="8">
        <f t="shared" si="0"/>
        <v>77.233791351318359</v>
      </c>
    </row>
    <row r="7" spans="1:10" x14ac:dyDescent="0.3">
      <c r="A7" s="19">
        <v>2</v>
      </c>
      <c r="B7" s="19">
        <v>25</v>
      </c>
      <c r="C7" s="24">
        <v>0.1172466278076172</v>
      </c>
      <c r="D7" s="24">
        <v>0.1111518250666667</v>
      </c>
      <c r="E7" s="24">
        <v>0.1101354410666667</v>
      </c>
      <c r="F7" s="20">
        <v>8.1968212901129753</v>
      </c>
      <c r="G7" s="22">
        <v>1.054833132405113</v>
      </c>
      <c r="H7" s="19">
        <v>339</v>
      </c>
      <c r="I7" s="4" t="s">
        <v>262</v>
      </c>
      <c r="J7" s="8">
        <f t="shared" si="0"/>
        <v>117.2466278076172</v>
      </c>
    </row>
    <row r="8" spans="1:10" x14ac:dyDescent="0.3">
      <c r="A8" s="19">
        <v>2</v>
      </c>
      <c r="B8" s="19">
        <v>50</v>
      </c>
      <c r="C8" s="24">
        <v>0.16732048988342291</v>
      </c>
      <c r="D8" s="24">
        <v>0.1611518250666667</v>
      </c>
      <c r="E8" s="24">
        <v>0.16013544106666669</v>
      </c>
      <c r="F8" s="20">
        <v>5.616093750458699</v>
      </c>
      <c r="G8" s="22">
        <v>1.0382785911000649</v>
      </c>
      <c r="H8" s="19">
        <v>239</v>
      </c>
      <c r="I8" s="4" t="s">
        <v>263</v>
      </c>
      <c r="J8" s="8">
        <f t="shared" si="0"/>
        <v>167.32048988342291</v>
      </c>
    </row>
    <row r="9" spans="1:10" x14ac:dyDescent="0.3">
      <c r="A9" s="19">
        <v>3</v>
      </c>
      <c r="B9" s="19">
        <v>1</v>
      </c>
      <c r="C9" s="24">
        <v>7.2558879852294922E-2</v>
      </c>
      <c r="D9" s="24">
        <v>6.4184593066666656E-2</v>
      </c>
      <c r="E9" s="24">
        <v>6.3168209066666661E-2</v>
      </c>
      <c r="F9" s="20">
        <v>12.807065394392311</v>
      </c>
      <c r="G9" s="22">
        <v>1.1304719152294089</v>
      </c>
      <c r="H9" s="19">
        <v>545</v>
      </c>
      <c r="I9" s="4" t="s">
        <v>264</v>
      </c>
      <c r="J9" s="8">
        <f t="shared" si="0"/>
        <v>72.558879852294922</v>
      </c>
    </row>
    <row r="10" spans="1:10" x14ac:dyDescent="0.3">
      <c r="A10" s="19">
        <v>3</v>
      </c>
      <c r="B10" s="19">
        <v>5</v>
      </c>
      <c r="C10" s="24">
        <v>8.4547042846679688E-2</v>
      </c>
      <c r="D10" s="24">
        <v>7.6184593066666653E-2</v>
      </c>
      <c r="E10" s="24">
        <v>7.5168209066666658E-2</v>
      </c>
      <c r="F10" s="20">
        <v>11.404675966531819</v>
      </c>
      <c r="G10" s="22">
        <v>1.109765629025482</v>
      </c>
      <c r="H10" s="19">
        <v>471</v>
      </c>
      <c r="I10" s="4" t="s">
        <v>265</v>
      </c>
      <c r="J10" s="8">
        <f t="shared" si="0"/>
        <v>84.547042846679688</v>
      </c>
    </row>
    <row r="11" spans="1:10" x14ac:dyDescent="0.3">
      <c r="A11" s="19">
        <v>3</v>
      </c>
      <c r="B11" s="19">
        <v>25</v>
      </c>
      <c r="C11" s="24">
        <v>0.1446840763092041</v>
      </c>
      <c r="D11" s="24">
        <v>0.13618459306666669</v>
      </c>
      <c r="E11" s="24">
        <v>0.13516820906666671</v>
      </c>
      <c r="F11" s="20">
        <v>6.6925287887004439</v>
      </c>
      <c r="G11" s="22">
        <v>1.062411489076277</v>
      </c>
      <c r="H11" s="19">
        <v>277</v>
      </c>
      <c r="I11" s="4" t="s">
        <v>266</v>
      </c>
      <c r="J11" s="8">
        <f t="shared" si="0"/>
        <v>144.6840763092041</v>
      </c>
    </row>
    <row r="12" spans="1:10" x14ac:dyDescent="0.3">
      <c r="A12" s="19">
        <v>3</v>
      </c>
      <c r="B12" s="19">
        <v>50</v>
      </c>
      <c r="C12" s="24">
        <v>0.21973299980163569</v>
      </c>
      <c r="D12" s="24">
        <v>0.2111845930666667</v>
      </c>
      <c r="E12" s="24">
        <v>0.21016820906666669</v>
      </c>
      <c r="F12" s="20">
        <v>4.4129963122886791</v>
      </c>
      <c r="G12" s="22">
        <v>1.040478363553115</v>
      </c>
      <c r="H12" s="19">
        <v>182</v>
      </c>
      <c r="I12" s="4" t="s">
        <v>267</v>
      </c>
      <c r="J12" s="8">
        <f t="shared" si="0"/>
        <v>219.73299980163569</v>
      </c>
    </row>
    <row r="13" spans="1:10" x14ac:dyDescent="0.3">
      <c r="A13" s="19">
        <v>4</v>
      </c>
      <c r="B13" s="19">
        <v>1</v>
      </c>
      <c r="C13" s="24">
        <v>7.5415849685668945E-2</v>
      </c>
      <c r="D13" s="24">
        <v>6.521736106666666E-2</v>
      </c>
      <c r="E13" s="24">
        <v>6.4200977066666665E-2</v>
      </c>
      <c r="F13" s="20">
        <v>12.717201867115071</v>
      </c>
      <c r="G13" s="22">
        <v>1.156376897994648</v>
      </c>
      <c r="H13" s="19">
        <v>541</v>
      </c>
      <c r="I13" s="4" t="s">
        <v>268</v>
      </c>
      <c r="J13" s="8">
        <f t="shared" si="0"/>
        <v>75.415849685668945</v>
      </c>
    </row>
    <row r="14" spans="1:10" x14ac:dyDescent="0.3">
      <c r="A14" s="19">
        <v>4</v>
      </c>
      <c r="B14" s="19">
        <v>5</v>
      </c>
      <c r="C14" s="24">
        <v>9.0736865997314453E-2</v>
      </c>
      <c r="D14" s="24">
        <v>8.121736106666666E-2</v>
      </c>
      <c r="E14" s="24">
        <v>8.0200977066666665E-2</v>
      </c>
      <c r="F14" s="20">
        <v>10.31718934688838</v>
      </c>
      <c r="G14" s="22">
        <v>1.11721022212029</v>
      </c>
      <c r="H14" s="19">
        <v>439</v>
      </c>
      <c r="I14" s="4" t="s">
        <v>269</v>
      </c>
      <c r="J14" s="8">
        <f t="shared" si="0"/>
        <v>90.736865997314453</v>
      </c>
    </row>
    <row r="15" spans="1:10" x14ac:dyDescent="0.3">
      <c r="A15" s="19">
        <v>4</v>
      </c>
      <c r="B15" s="19">
        <v>25</v>
      </c>
      <c r="C15" s="24">
        <v>0.17083573341369629</v>
      </c>
      <c r="D15" s="24">
        <v>0.1612173610666667</v>
      </c>
      <c r="E15" s="24">
        <v>0.16020097706666669</v>
      </c>
      <c r="F15" s="20">
        <v>5.5106450264706641</v>
      </c>
      <c r="G15" s="22">
        <v>1.0596608968376069</v>
      </c>
      <c r="H15" s="19">
        <v>235</v>
      </c>
      <c r="I15" s="4" t="s">
        <v>270</v>
      </c>
      <c r="J15" s="8">
        <f t="shared" si="0"/>
        <v>170.83573341369629</v>
      </c>
    </row>
    <row r="16" spans="1:10" x14ac:dyDescent="0.3">
      <c r="A16" s="19">
        <v>4</v>
      </c>
      <c r="B16" s="19">
        <v>50</v>
      </c>
      <c r="C16" s="24">
        <v>0.27080488204956049</v>
      </c>
      <c r="D16" s="24">
        <v>0.26121736106666671</v>
      </c>
      <c r="E16" s="24">
        <v>0.26020097706666673</v>
      </c>
      <c r="F16" s="20">
        <v>3.5987582291515769</v>
      </c>
      <c r="G16" s="22">
        <v>1.0367032303815631</v>
      </c>
      <c r="H16" s="19">
        <v>149</v>
      </c>
      <c r="I16" s="4" t="s">
        <v>271</v>
      </c>
      <c r="J16" s="8">
        <f t="shared" si="0"/>
        <v>270.80488204956049</v>
      </c>
    </row>
    <row r="17" spans="1:10" x14ac:dyDescent="0.3">
      <c r="A17" s="19">
        <v>6</v>
      </c>
      <c r="B17" s="19">
        <v>1</v>
      </c>
      <c r="C17" s="24">
        <v>7.6776742935180664E-2</v>
      </c>
      <c r="D17" s="24">
        <v>6.7282897066666653E-2</v>
      </c>
      <c r="E17" s="24">
        <v>6.6266513066666657E-2</v>
      </c>
      <c r="F17" s="20">
        <v>12.372237705827869</v>
      </c>
      <c r="G17" s="22">
        <v>1.1411034049129469</v>
      </c>
      <c r="H17" s="19">
        <v>511</v>
      </c>
      <c r="I17" s="4" t="s">
        <v>272</v>
      </c>
      <c r="J17" s="8">
        <f t="shared" si="0"/>
        <v>76.776742935180664</v>
      </c>
    </row>
    <row r="18" spans="1:10" x14ac:dyDescent="0.3">
      <c r="A18" s="19">
        <v>6</v>
      </c>
      <c r="B18" s="19">
        <v>5</v>
      </c>
      <c r="C18" s="24">
        <v>0.1012182235717773</v>
      </c>
      <c r="D18" s="24">
        <v>9.128289706666666E-2</v>
      </c>
      <c r="E18" s="24">
        <v>9.0266513066666665E-2</v>
      </c>
      <c r="F18" s="20">
        <v>9.5239831101928178</v>
      </c>
      <c r="G18" s="22">
        <v>1.108841051548294</v>
      </c>
      <c r="H18" s="19">
        <v>393</v>
      </c>
      <c r="I18" s="4" t="s">
        <v>273</v>
      </c>
      <c r="J18" s="8">
        <f t="shared" si="0"/>
        <v>101.2182235717773</v>
      </c>
    </row>
    <row r="19" spans="1:10" x14ac:dyDescent="0.3">
      <c r="A19" s="19">
        <v>6</v>
      </c>
      <c r="B19" s="19">
        <v>25</v>
      </c>
      <c r="C19" s="24">
        <v>0.22140264511108401</v>
      </c>
      <c r="D19" s="24">
        <v>0.2112828970666667</v>
      </c>
      <c r="E19" s="24">
        <v>0.21026651306666669</v>
      </c>
      <c r="F19" s="20">
        <v>4.384683462252748</v>
      </c>
      <c r="G19" s="22">
        <v>1.047896674008707</v>
      </c>
      <c r="H19" s="19">
        <v>187</v>
      </c>
      <c r="I19" s="4" t="s">
        <v>274</v>
      </c>
      <c r="J19" s="8">
        <f t="shared" si="0"/>
        <v>221.40264511108401</v>
      </c>
    </row>
    <row r="20" spans="1:10" x14ac:dyDescent="0.3">
      <c r="A20" s="19">
        <v>6</v>
      </c>
      <c r="B20" s="19">
        <v>50</v>
      </c>
      <c r="C20" s="24">
        <v>0.37147855758666992</v>
      </c>
      <c r="D20" s="24">
        <v>0.36128289706666672</v>
      </c>
      <c r="E20" s="24">
        <v>0.36026651306666668</v>
      </c>
      <c r="F20" s="20">
        <v>2.5351176025029938</v>
      </c>
      <c r="G20" s="22">
        <v>1.028220711810008</v>
      </c>
      <c r="H20" s="19">
        <v>108</v>
      </c>
      <c r="I20" s="4" t="s">
        <v>275</v>
      </c>
      <c r="J20" s="8">
        <f t="shared" si="0"/>
        <v>371.47855758666992</v>
      </c>
    </row>
    <row r="23" spans="1:10" x14ac:dyDescent="0.3">
      <c r="A23" s="13" t="s">
        <v>276</v>
      </c>
    </row>
    <row r="24" spans="1:10" x14ac:dyDescent="0.3">
      <c r="A24" s="3" t="s">
        <v>277</v>
      </c>
      <c r="B24" s="3" t="s">
        <v>278</v>
      </c>
      <c r="C24" s="3" t="s">
        <v>279</v>
      </c>
      <c r="D24" s="3" t="s">
        <v>280</v>
      </c>
      <c r="E24" s="3" t="s">
        <v>281</v>
      </c>
      <c r="F24" s="3" t="s">
        <v>282</v>
      </c>
      <c r="G24" s="3" t="s">
        <v>283</v>
      </c>
    </row>
    <row r="25" spans="1:10" x14ac:dyDescent="0.3">
      <c r="A25" s="19">
        <v>2</v>
      </c>
      <c r="B25" s="4" t="s">
        <v>284</v>
      </c>
      <c r="C25" s="25">
        <f>SLOPE(J5:J8,B5:B8)</f>
        <v>2.0013088701025032</v>
      </c>
      <c r="D25" s="7">
        <f>A25</f>
        <v>2</v>
      </c>
      <c r="E25" s="9">
        <f>(C25-D25)/D25</f>
        <v>6.5443505125162282E-4</v>
      </c>
      <c r="F25" s="9">
        <f>ABS(E25)</f>
        <v>6.5443505125162282E-4</v>
      </c>
      <c r="G25" s="10">
        <f>RSQ(J5:J8,B5:B8)</f>
        <v>0.99999970383602821</v>
      </c>
    </row>
    <row r="26" spans="1:10" x14ac:dyDescent="0.3">
      <c r="A26" s="19">
        <v>3</v>
      </c>
      <c r="B26" s="4" t="s">
        <v>285</v>
      </c>
      <c r="C26" s="25">
        <f>SLOPE(J9:J12,B9:B12)</f>
        <v>3.0039419268567524</v>
      </c>
      <c r="D26" s="7">
        <f>A26</f>
        <v>3</v>
      </c>
      <c r="E26" s="9">
        <f>(C26-D26)/D26</f>
        <v>1.3139756189174772E-3</v>
      </c>
      <c r="F26" s="9">
        <f>ABS(E26)</f>
        <v>1.3139756189174772E-3</v>
      </c>
      <c r="G26" s="10">
        <f>RSQ(J9:J12,B9:B12)</f>
        <v>0.99999985360727495</v>
      </c>
    </row>
    <row r="27" spans="1:10" x14ac:dyDescent="0.3">
      <c r="A27" s="19">
        <v>4</v>
      </c>
      <c r="B27" s="4" t="s">
        <v>286</v>
      </c>
      <c r="C27" s="25">
        <f>SLOPE(J13:J16,B13:B16)</f>
        <v>3.9929986177602577</v>
      </c>
      <c r="D27" s="7">
        <f>A27</f>
        <v>4</v>
      </c>
      <c r="E27" s="9">
        <f>(C27-D27)/D27</f>
        <v>-1.7503455599355844E-3</v>
      </c>
      <c r="F27" s="9">
        <f>ABS(E27)</f>
        <v>1.7503455599355844E-3</v>
      </c>
      <c r="G27" s="10">
        <f>RSQ(J13:J16,B13:B16)</f>
        <v>0.99999076328568692</v>
      </c>
    </row>
    <row r="28" spans="1:10" x14ac:dyDescent="0.3">
      <c r="A28" s="19">
        <v>6</v>
      </c>
      <c r="B28" s="4" t="s">
        <v>287</v>
      </c>
      <c r="C28" s="25">
        <f>SLOPE(J17:J20,B17:B20)</f>
        <v>6.011331750130231</v>
      </c>
      <c r="D28" s="7">
        <f>A28</f>
        <v>6</v>
      </c>
      <c r="E28" s="9">
        <f>(C28-D28)/D28</f>
        <v>1.8886250217051703E-3</v>
      </c>
      <c r="F28" s="9">
        <f>ABS(E28)</f>
        <v>1.8886250217051703E-3</v>
      </c>
      <c r="G28" s="10">
        <f>RSQ(J17:J20,B17:B20)</f>
        <v>0.9999981189007916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7"/>
  <sheetViews>
    <sheetView workbookViewId="0">
      <pane ySplit="4" topLeftCell="A5" activePane="bottomLeft" state="frozen"/>
      <selection pane="bottomLeft"/>
    </sheetView>
  </sheetViews>
  <sheetFormatPr defaultRowHeight="14.4" x14ac:dyDescent="0.3"/>
  <cols>
    <col min="1" max="1" width="30" customWidth="1"/>
    <col min="2" max="2" width="10" customWidth="1"/>
    <col min="3" max="3" width="14" customWidth="1"/>
    <col min="4" max="4" width="16" customWidth="1"/>
    <col min="5" max="5" width="22" customWidth="1"/>
    <col min="6" max="6" width="15" customWidth="1"/>
    <col min="7" max="7" width="13" customWidth="1"/>
    <col min="8" max="8" width="17" customWidth="1"/>
    <col min="9" max="9" width="15" customWidth="1"/>
    <col min="10" max="10" width="20" customWidth="1"/>
    <col min="11" max="11" width="21" customWidth="1"/>
    <col min="12" max="12" width="23" customWidth="1"/>
    <col min="13" max="13" width="30" customWidth="1"/>
  </cols>
  <sheetData>
    <row r="1" spans="1:13" ht="17.399999999999999" x14ac:dyDescent="0.3">
      <c r="A1" s="14" t="s">
        <v>288</v>
      </c>
    </row>
    <row r="2" spans="1:13" x14ac:dyDescent="0.3">
      <c r="A2" s="2" t="s">
        <v>289</v>
      </c>
    </row>
    <row r="4" spans="1:13" ht="26.4" x14ac:dyDescent="0.3">
      <c r="A4" s="3" t="s">
        <v>290</v>
      </c>
      <c r="B4" s="3" t="s">
        <v>291</v>
      </c>
      <c r="C4" s="3" t="s">
        <v>292</v>
      </c>
      <c r="D4" s="3" t="s">
        <v>293</v>
      </c>
      <c r="E4" s="3" t="s">
        <v>294</v>
      </c>
      <c r="F4" s="3" t="s">
        <v>226</v>
      </c>
      <c r="G4" s="3" t="s">
        <v>237</v>
      </c>
      <c r="H4" s="3" t="s">
        <v>238</v>
      </c>
      <c r="I4" s="3" t="s">
        <v>295</v>
      </c>
      <c r="J4" s="3" t="s">
        <v>296</v>
      </c>
      <c r="K4" s="3" t="s">
        <v>297</v>
      </c>
      <c r="L4" s="3" t="s">
        <v>228</v>
      </c>
      <c r="M4" s="3" t="s">
        <v>239</v>
      </c>
    </row>
    <row r="5" spans="1:13" x14ac:dyDescent="0.3">
      <c r="A5" s="4" t="s">
        <v>298</v>
      </c>
      <c r="B5" s="19">
        <v>1</v>
      </c>
      <c r="C5" s="19">
        <v>250</v>
      </c>
      <c r="D5" s="19">
        <v>1000</v>
      </c>
      <c r="E5" s="19">
        <v>500</v>
      </c>
      <c r="F5" s="19">
        <v>6</v>
      </c>
      <c r="G5" s="19">
        <v>108</v>
      </c>
      <c r="H5" s="19">
        <v>1183</v>
      </c>
      <c r="I5" s="19">
        <v>7</v>
      </c>
      <c r="J5" s="22">
        <v>0.67995095252990723</v>
      </c>
      <c r="K5" s="4"/>
      <c r="L5" s="20">
        <v>42.945149038254371</v>
      </c>
      <c r="M5" s="4" t="s">
        <v>299</v>
      </c>
    </row>
    <row r="6" spans="1:13" x14ac:dyDescent="0.3">
      <c r="A6" s="4" t="s">
        <v>298</v>
      </c>
      <c r="B6" s="19">
        <v>1</v>
      </c>
      <c r="C6" s="19">
        <v>500</v>
      </c>
      <c r="D6" s="19">
        <v>2000</v>
      </c>
      <c r="E6" s="19">
        <v>500</v>
      </c>
      <c r="F6" s="19">
        <v>6</v>
      </c>
      <c r="G6" s="19">
        <v>108</v>
      </c>
      <c r="H6" s="19">
        <v>1155</v>
      </c>
      <c r="I6" s="19">
        <v>0</v>
      </c>
      <c r="J6" s="22">
        <v>1.3389103412628169</v>
      </c>
      <c r="K6" s="4"/>
      <c r="L6" s="20">
        <v>43.135780215047603</v>
      </c>
      <c r="M6" s="4" t="s">
        <v>300</v>
      </c>
    </row>
    <row r="7" spans="1:13" x14ac:dyDescent="0.3">
      <c r="A7" s="4" t="s">
        <v>298</v>
      </c>
      <c r="B7" s="19">
        <v>1</v>
      </c>
      <c r="C7" s="19">
        <v>1000</v>
      </c>
      <c r="D7" s="19">
        <v>4000</v>
      </c>
      <c r="E7" s="19">
        <v>500</v>
      </c>
      <c r="F7" s="19">
        <v>6</v>
      </c>
      <c r="G7" s="19">
        <v>108</v>
      </c>
      <c r="H7" s="19">
        <v>1081</v>
      </c>
      <c r="I7" s="19">
        <v>0</v>
      </c>
      <c r="J7" s="22">
        <v>3.217918872833252</v>
      </c>
      <c r="K7" s="4"/>
      <c r="L7" s="20">
        <v>43.374327687054652</v>
      </c>
      <c r="M7" s="4" t="s">
        <v>301</v>
      </c>
    </row>
    <row r="8" spans="1:13" x14ac:dyDescent="0.3">
      <c r="A8" s="4" t="s">
        <v>298</v>
      </c>
      <c r="B8" s="19">
        <v>2</v>
      </c>
      <c r="C8" s="19">
        <v>250</v>
      </c>
      <c r="D8" s="19">
        <v>1000</v>
      </c>
      <c r="E8" s="19">
        <v>500</v>
      </c>
      <c r="F8" s="19">
        <v>6</v>
      </c>
      <c r="G8" s="19">
        <v>342</v>
      </c>
      <c r="H8" s="19">
        <v>0</v>
      </c>
      <c r="I8" s="19">
        <v>24</v>
      </c>
      <c r="J8" s="22">
        <v>0.69779086112976074</v>
      </c>
      <c r="K8" s="22">
        <v>0.77799296379089355</v>
      </c>
      <c r="L8" s="20">
        <v>50.533967330968068</v>
      </c>
      <c r="M8" s="4" t="s">
        <v>302</v>
      </c>
    </row>
    <row r="9" spans="1:13" x14ac:dyDescent="0.3">
      <c r="A9" s="4" t="s">
        <v>298</v>
      </c>
      <c r="B9" s="19">
        <v>2</v>
      </c>
      <c r="C9" s="19">
        <v>500</v>
      </c>
      <c r="D9" s="19">
        <v>2000</v>
      </c>
      <c r="E9" s="19">
        <v>500</v>
      </c>
      <c r="F9" s="19">
        <v>6</v>
      </c>
      <c r="G9" s="19">
        <v>339</v>
      </c>
      <c r="H9" s="19">
        <v>1</v>
      </c>
      <c r="I9" s="19">
        <v>15</v>
      </c>
      <c r="J9" s="22">
        <v>1.3194675445556641</v>
      </c>
      <c r="K9" s="22">
        <v>1.395545482635498</v>
      </c>
      <c r="L9" s="20">
        <v>50.448397072620459</v>
      </c>
      <c r="M9" s="4" t="s">
        <v>303</v>
      </c>
    </row>
    <row r="10" spans="1:13" x14ac:dyDescent="0.3">
      <c r="A10" s="4" t="s">
        <v>298</v>
      </c>
      <c r="B10" s="19">
        <v>2</v>
      </c>
      <c r="C10" s="19">
        <v>1000</v>
      </c>
      <c r="D10" s="19">
        <v>4000</v>
      </c>
      <c r="E10" s="19">
        <v>500</v>
      </c>
      <c r="F10" s="19">
        <v>6</v>
      </c>
      <c r="G10" s="19">
        <v>329</v>
      </c>
      <c r="H10" s="19">
        <v>1</v>
      </c>
      <c r="I10" s="19">
        <v>37</v>
      </c>
      <c r="J10" s="22">
        <v>3.654674768447876</v>
      </c>
      <c r="K10" s="22">
        <v>3.6570248603820801</v>
      </c>
      <c r="L10" s="20">
        <v>48.538037058428543</v>
      </c>
      <c r="M10" s="4" t="s">
        <v>304</v>
      </c>
    </row>
    <row r="11" spans="1:13" x14ac:dyDescent="0.3">
      <c r="A11" s="4" t="s">
        <v>298</v>
      </c>
      <c r="B11" s="19">
        <v>3</v>
      </c>
      <c r="C11" s="19">
        <v>250</v>
      </c>
      <c r="D11" s="19">
        <v>1000</v>
      </c>
      <c r="E11" s="19">
        <v>500</v>
      </c>
      <c r="F11" s="19">
        <v>6</v>
      </c>
      <c r="G11" s="19">
        <v>432</v>
      </c>
      <c r="H11" s="19">
        <v>0</v>
      </c>
      <c r="I11" s="19">
        <v>9</v>
      </c>
      <c r="J11" s="22">
        <v>0.48678398132324219</v>
      </c>
      <c r="K11" s="22">
        <v>0.49869370460510248</v>
      </c>
      <c r="L11" s="20">
        <v>67.748958858091356</v>
      </c>
      <c r="M11" s="4" t="s">
        <v>305</v>
      </c>
    </row>
    <row r="12" spans="1:13" x14ac:dyDescent="0.3">
      <c r="A12" s="4" t="s">
        <v>298</v>
      </c>
      <c r="B12" s="19">
        <v>3</v>
      </c>
      <c r="C12" s="19">
        <v>500</v>
      </c>
      <c r="D12" s="19">
        <v>2000</v>
      </c>
      <c r="E12" s="19">
        <v>500</v>
      </c>
      <c r="F12" s="19">
        <v>6</v>
      </c>
      <c r="G12" s="19">
        <v>425</v>
      </c>
      <c r="H12" s="19">
        <v>1</v>
      </c>
      <c r="I12" s="19">
        <v>13</v>
      </c>
      <c r="J12" s="22">
        <v>1.3712108135223391</v>
      </c>
      <c r="K12" s="22">
        <v>1.4027454853057859</v>
      </c>
      <c r="L12" s="20">
        <v>66.889216404044419</v>
      </c>
      <c r="M12" s="4" t="s">
        <v>306</v>
      </c>
    </row>
    <row r="13" spans="1:13" x14ac:dyDescent="0.3">
      <c r="A13" s="4" t="s">
        <v>298</v>
      </c>
      <c r="B13" s="19">
        <v>3</v>
      </c>
      <c r="C13" s="19">
        <v>1000</v>
      </c>
      <c r="D13" s="19">
        <v>4000</v>
      </c>
      <c r="E13" s="19">
        <v>500</v>
      </c>
      <c r="F13" s="19">
        <v>6</v>
      </c>
      <c r="G13" s="19">
        <v>411</v>
      </c>
      <c r="H13" s="19">
        <v>0</v>
      </c>
      <c r="I13" s="19">
        <v>36</v>
      </c>
      <c r="J13" s="22">
        <v>3.7315282821655269</v>
      </c>
      <c r="K13" s="22">
        <v>3.7511370182037349</v>
      </c>
      <c r="L13" s="20">
        <v>64.213686853464793</v>
      </c>
      <c r="M13" s="4" t="s">
        <v>307</v>
      </c>
    </row>
    <row r="14" spans="1:13" x14ac:dyDescent="0.3">
      <c r="A14" s="4" t="s">
        <v>308</v>
      </c>
      <c r="B14" s="19">
        <v>2</v>
      </c>
      <c r="C14" s="19">
        <v>500</v>
      </c>
      <c r="D14" s="19">
        <v>2000</v>
      </c>
      <c r="E14" s="19">
        <v>250</v>
      </c>
      <c r="F14" s="19">
        <v>6</v>
      </c>
      <c r="G14" s="19">
        <v>344</v>
      </c>
      <c r="H14" s="19">
        <v>2</v>
      </c>
      <c r="I14" s="19">
        <v>23</v>
      </c>
      <c r="J14" s="22">
        <v>1.4750518798828121</v>
      </c>
      <c r="K14" s="22">
        <v>1.492393493652344</v>
      </c>
      <c r="L14" s="20">
        <v>52.286781128881678</v>
      </c>
      <c r="M14" s="4" t="s">
        <v>309</v>
      </c>
    </row>
    <row r="15" spans="1:13" x14ac:dyDescent="0.3">
      <c r="A15" s="4" t="s">
        <v>308</v>
      </c>
      <c r="B15" s="19">
        <v>2</v>
      </c>
      <c r="C15" s="19">
        <v>500</v>
      </c>
      <c r="D15" s="19">
        <v>2000</v>
      </c>
      <c r="E15" s="19">
        <v>1000</v>
      </c>
      <c r="F15" s="19">
        <v>6</v>
      </c>
      <c r="G15" s="19">
        <v>337</v>
      </c>
      <c r="H15" s="19">
        <v>0</v>
      </c>
      <c r="I15" s="19">
        <v>15</v>
      </c>
      <c r="J15" s="22">
        <v>1.474871873855591</v>
      </c>
      <c r="K15" s="22">
        <v>1.9441239833831789</v>
      </c>
      <c r="L15" s="20">
        <v>51.534523742163003</v>
      </c>
      <c r="M15" s="4" t="s">
        <v>310</v>
      </c>
    </row>
    <row r="16" spans="1:13" x14ac:dyDescent="0.3">
      <c r="A16" s="4" t="s">
        <v>308</v>
      </c>
      <c r="B16" s="19">
        <v>2</v>
      </c>
      <c r="C16" s="19">
        <v>500</v>
      </c>
      <c r="D16" s="19">
        <v>2000</v>
      </c>
      <c r="E16" s="19">
        <v>2000</v>
      </c>
      <c r="F16" s="19">
        <v>6</v>
      </c>
      <c r="G16" s="19">
        <v>337</v>
      </c>
      <c r="H16" s="19">
        <v>0</v>
      </c>
      <c r="I16" s="19">
        <v>8</v>
      </c>
      <c r="J16" s="22">
        <v>1.3291893005371089</v>
      </c>
      <c r="K16" s="22">
        <v>1.8328506946563721</v>
      </c>
      <c r="L16" s="20">
        <v>51.439964057948117</v>
      </c>
      <c r="M16" s="4" t="s">
        <v>311</v>
      </c>
    </row>
    <row r="17" spans="1:13" x14ac:dyDescent="0.3">
      <c r="A17" s="4" t="s">
        <v>308</v>
      </c>
      <c r="B17" s="19">
        <v>2</v>
      </c>
      <c r="C17" s="19">
        <v>500</v>
      </c>
      <c r="D17" s="19">
        <v>2000</v>
      </c>
      <c r="E17" s="19">
        <v>5000</v>
      </c>
      <c r="F17" s="19">
        <v>6</v>
      </c>
      <c r="G17" s="19">
        <v>328</v>
      </c>
      <c r="H17" s="19">
        <v>0</v>
      </c>
      <c r="I17" s="19">
        <v>9</v>
      </c>
      <c r="J17" s="22">
        <v>1.64240574836731</v>
      </c>
      <c r="K17" s="22">
        <v>3.9053695201873779</v>
      </c>
      <c r="L17" s="20">
        <v>49.540552581120657</v>
      </c>
      <c r="M17" s="4" t="s">
        <v>312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7"/>
  <sheetViews>
    <sheetView workbookViewId="0">
      <pane ySplit="4" topLeftCell="A5" activePane="bottomLeft" state="frozen"/>
      <selection pane="bottomLeft"/>
    </sheetView>
  </sheetViews>
  <sheetFormatPr defaultRowHeight="14.4" x14ac:dyDescent="0.3"/>
  <cols>
    <col min="1" max="1" width="30" customWidth="1"/>
    <col min="2" max="5" width="10" customWidth="1"/>
    <col min="6" max="9" width="20" customWidth="1"/>
    <col min="10" max="10" width="21" customWidth="1"/>
    <col min="11" max="11" width="23" customWidth="1"/>
    <col min="12" max="12" width="20" customWidth="1"/>
    <col min="13" max="13" width="23" customWidth="1"/>
    <col min="14" max="14" width="16" customWidth="1"/>
    <col min="15" max="15" width="10" customWidth="1"/>
  </cols>
  <sheetData>
    <row r="1" spans="1:15" ht="17.399999999999999" x14ac:dyDescent="0.3">
      <c r="A1" s="14" t="s">
        <v>313</v>
      </c>
    </row>
    <row r="2" spans="1:15" x14ac:dyDescent="0.3">
      <c r="A2" s="2" t="s">
        <v>314</v>
      </c>
    </row>
    <row r="4" spans="1:15" x14ac:dyDescent="0.3">
      <c r="A4" s="3" t="s">
        <v>239</v>
      </c>
      <c r="B4" s="3" t="s">
        <v>315</v>
      </c>
      <c r="C4" s="3" t="s">
        <v>164</v>
      </c>
      <c r="D4" s="3" t="s">
        <v>316</v>
      </c>
      <c r="E4" s="3" t="s">
        <v>317</v>
      </c>
      <c r="F4" s="3" t="s">
        <v>318</v>
      </c>
      <c r="G4" s="3" t="s">
        <v>319</v>
      </c>
      <c r="H4" s="3" t="s">
        <v>320</v>
      </c>
      <c r="I4" s="3" t="s">
        <v>321</v>
      </c>
      <c r="J4" s="3" t="s">
        <v>322</v>
      </c>
      <c r="K4" s="3" t="s">
        <v>323</v>
      </c>
      <c r="L4" s="3" t="s">
        <v>324</v>
      </c>
      <c r="M4" s="3" t="s">
        <v>325</v>
      </c>
      <c r="N4" s="3" t="s">
        <v>326</v>
      </c>
      <c r="O4" s="3" t="s">
        <v>327</v>
      </c>
    </row>
    <row r="5" spans="1:15" x14ac:dyDescent="0.3">
      <c r="A5" s="4" t="s">
        <v>299</v>
      </c>
      <c r="B5" s="4" t="s">
        <v>328</v>
      </c>
      <c r="C5" s="19">
        <v>2</v>
      </c>
      <c r="D5" s="19">
        <v>1</v>
      </c>
      <c r="E5" s="4" t="s">
        <v>329</v>
      </c>
      <c r="F5" s="22">
        <v>24.49044227600098</v>
      </c>
      <c r="G5" s="22">
        <v>25.17039322853088</v>
      </c>
      <c r="H5" s="4"/>
      <c r="I5" s="22">
        <v>0.67995095252990723</v>
      </c>
      <c r="J5" s="4"/>
      <c r="K5" s="4"/>
      <c r="L5" s="4"/>
      <c r="M5" s="19">
        <v>11</v>
      </c>
      <c r="N5" s="4"/>
      <c r="O5" s="4"/>
    </row>
    <row r="6" spans="1:15" x14ac:dyDescent="0.3">
      <c r="A6" s="4" t="s">
        <v>300</v>
      </c>
      <c r="B6" s="4" t="s">
        <v>328</v>
      </c>
      <c r="C6" s="19">
        <v>2</v>
      </c>
      <c r="D6" s="19">
        <v>1</v>
      </c>
      <c r="E6" s="4" t="s">
        <v>329</v>
      </c>
      <c r="F6" s="22">
        <v>23.963558673858639</v>
      </c>
      <c r="G6" s="22">
        <v>25.30246901512146</v>
      </c>
      <c r="H6" s="4"/>
      <c r="I6" s="22">
        <v>1.3389103412628169</v>
      </c>
      <c r="J6" s="4"/>
      <c r="K6" s="4"/>
      <c r="L6" s="4"/>
      <c r="M6" s="19">
        <v>17</v>
      </c>
      <c r="N6" s="4"/>
      <c r="O6" s="4"/>
    </row>
    <row r="7" spans="1:15" x14ac:dyDescent="0.3">
      <c r="A7" s="4" t="s">
        <v>301</v>
      </c>
      <c r="B7" s="4" t="s">
        <v>328</v>
      </c>
      <c r="C7" s="19">
        <v>2</v>
      </c>
      <c r="D7" s="19">
        <v>1</v>
      </c>
      <c r="E7" s="4" t="s">
        <v>329</v>
      </c>
      <c r="F7" s="22">
        <v>24.560527086257931</v>
      </c>
      <c r="G7" s="22">
        <v>27.77844595909119</v>
      </c>
      <c r="H7" s="4"/>
      <c r="I7" s="22">
        <v>3.217918872833252</v>
      </c>
      <c r="J7" s="4"/>
      <c r="K7" s="4"/>
      <c r="L7" s="4"/>
      <c r="M7" s="19">
        <v>41</v>
      </c>
      <c r="N7" s="4"/>
      <c r="O7" s="4"/>
    </row>
    <row r="8" spans="1:15" x14ac:dyDescent="0.3">
      <c r="A8" s="4" t="s">
        <v>302</v>
      </c>
      <c r="B8" s="4" t="s">
        <v>328</v>
      </c>
      <c r="C8" s="19">
        <v>2</v>
      </c>
      <c r="D8" s="19">
        <v>1</v>
      </c>
      <c r="E8" s="4" t="s">
        <v>329</v>
      </c>
      <c r="F8" s="22">
        <v>24.83776497840881</v>
      </c>
      <c r="G8" s="22">
        <v>25.535555839538571</v>
      </c>
      <c r="H8" s="22">
        <v>25.615757942199711</v>
      </c>
      <c r="I8" s="22">
        <v>0.69779086112976074</v>
      </c>
      <c r="J8" s="22">
        <v>0.77799296379089355</v>
      </c>
      <c r="K8" s="22">
        <v>4.1475534439086907E-2</v>
      </c>
      <c r="L8" s="22">
        <v>1.2517135143280029</v>
      </c>
      <c r="M8" s="19">
        <v>5</v>
      </c>
      <c r="N8" s="4"/>
      <c r="O8" s="4"/>
    </row>
    <row r="9" spans="1:15" x14ac:dyDescent="0.3">
      <c r="A9" s="4" t="s">
        <v>303</v>
      </c>
      <c r="B9" s="4" t="s">
        <v>328</v>
      </c>
      <c r="C9" s="19">
        <v>2</v>
      </c>
      <c r="D9" s="19">
        <v>1</v>
      </c>
      <c r="E9" s="4" t="s">
        <v>329</v>
      </c>
      <c r="F9" s="22">
        <v>24.624963283538818</v>
      </c>
      <c r="G9" s="22">
        <v>25.944430828094479</v>
      </c>
      <c r="H9" s="22">
        <v>26.02050876617432</v>
      </c>
      <c r="I9" s="22">
        <v>1.3194675445556641</v>
      </c>
      <c r="J9" s="22">
        <v>1.395545482635498</v>
      </c>
      <c r="K9" s="22">
        <v>2.9480457305908199E-3</v>
      </c>
      <c r="L9" s="22">
        <v>1.782914876937866</v>
      </c>
      <c r="M9" s="19">
        <v>10</v>
      </c>
      <c r="N9" s="4"/>
      <c r="O9" s="4"/>
    </row>
    <row r="10" spans="1:15" x14ac:dyDescent="0.3">
      <c r="A10" s="4" t="s">
        <v>304</v>
      </c>
      <c r="B10" s="4" t="s">
        <v>328</v>
      </c>
      <c r="C10" s="19">
        <v>2</v>
      </c>
      <c r="D10" s="19">
        <v>1</v>
      </c>
      <c r="E10" s="4" t="s">
        <v>329</v>
      </c>
      <c r="F10" s="22">
        <v>24.735205173492432</v>
      </c>
      <c r="G10" s="22">
        <v>28.389879941940311</v>
      </c>
      <c r="H10" s="22">
        <v>28.392230033874512</v>
      </c>
      <c r="I10" s="22">
        <v>3.654674768447876</v>
      </c>
      <c r="J10" s="22">
        <v>3.6570248603820801</v>
      </c>
      <c r="K10" s="22">
        <v>1.1598110198974609E-2</v>
      </c>
      <c r="L10" s="22">
        <v>3.8322734832763672</v>
      </c>
      <c r="M10" s="19">
        <v>31</v>
      </c>
      <c r="N10" s="4"/>
      <c r="O10" s="4"/>
    </row>
    <row r="11" spans="1:15" x14ac:dyDescent="0.3">
      <c r="A11" s="4" t="s">
        <v>305</v>
      </c>
      <c r="B11" s="4" t="s">
        <v>328</v>
      </c>
      <c r="C11" s="19">
        <v>2</v>
      </c>
      <c r="D11" s="19">
        <v>1</v>
      </c>
      <c r="E11" s="4" t="s">
        <v>329</v>
      </c>
      <c r="F11" s="22">
        <v>25.485777616500851</v>
      </c>
      <c r="G11" s="22">
        <v>25.9725615978241</v>
      </c>
      <c r="H11" s="22">
        <v>25.984471321105961</v>
      </c>
      <c r="I11" s="22">
        <v>0.48678398132324219</v>
      </c>
      <c r="J11" s="22">
        <v>0.49869370460510248</v>
      </c>
      <c r="K11" s="22">
        <v>9.8156929016113281E-4</v>
      </c>
      <c r="L11" s="22">
        <v>0.95513534545898438</v>
      </c>
      <c r="M11" s="19">
        <v>3</v>
      </c>
      <c r="N11" s="4"/>
      <c r="O11" s="4"/>
    </row>
    <row r="12" spans="1:15" x14ac:dyDescent="0.3">
      <c r="A12" s="4" t="s">
        <v>306</v>
      </c>
      <c r="B12" s="4" t="s">
        <v>328</v>
      </c>
      <c r="C12" s="19">
        <v>2</v>
      </c>
      <c r="D12" s="19">
        <v>1</v>
      </c>
      <c r="E12" s="4" t="s">
        <v>329</v>
      </c>
      <c r="F12" s="22">
        <v>24.802928447723389</v>
      </c>
      <c r="G12" s="22">
        <v>26.174139261245731</v>
      </c>
      <c r="H12" s="22">
        <v>26.205673933029171</v>
      </c>
      <c r="I12" s="22">
        <v>1.3712108135223391</v>
      </c>
      <c r="J12" s="22">
        <v>1.4027454853057859</v>
      </c>
      <c r="K12" s="22">
        <v>5.3818225860595703E-3</v>
      </c>
      <c r="L12" s="22">
        <v>1.825840950012207</v>
      </c>
      <c r="M12" s="19">
        <v>10</v>
      </c>
      <c r="N12" s="4"/>
      <c r="O12" s="4"/>
    </row>
    <row r="13" spans="1:15" x14ac:dyDescent="0.3">
      <c r="A13" s="4" t="s">
        <v>307</v>
      </c>
      <c r="B13" s="4" t="s">
        <v>328</v>
      </c>
      <c r="C13" s="19">
        <v>2</v>
      </c>
      <c r="D13" s="19">
        <v>1</v>
      </c>
      <c r="E13" s="4" t="s">
        <v>329</v>
      </c>
      <c r="F13" s="22">
        <v>25.810653448104858</v>
      </c>
      <c r="G13" s="22">
        <v>29.542181730270389</v>
      </c>
      <c r="H13" s="22">
        <v>29.56179046630859</v>
      </c>
      <c r="I13" s="22">
        <v>3.7315282821655269</v>
      </c>
      <c r="J13" s="22">
        <v>3.7511370182037349</v>
      </c>
      <c r="K13" s="22">
        <v>1.4913558959960939E-2</v>
      </c>
      <c r="L13" s="22">
        <v>3.831978559494019</v>
      </c>
      <c r="M13" s="19">
        <v>29</v>
      </c>
      <c r="N13" s="4"/>
      <c r="O13" s="4"/>
    </row>
    <row r="14" spans="1:15" x14ac:dyDescent="0.3">
      <c r="A14" s="4" t="s">
        <v>309</v>
      </c>
      <c r="B14" s="4" t="s">
        <v>328</v>
      </c>
      <c r="C14" s="19">
        <v>2</v>
      </c>
      <c r="D14" s="19">
        <v>1</v>
      </c>
      <c r="E14" s="4" t="s">
        <v>329</v>
      </c>
      <c r="F14" s="22">
        <v>25.457653522491459</v>
      </c>
      <c r="G14" s="22">
        <v>26.932705402374271</v>
      </c>
      <c r="H14" s="22">
        <v>26.950047016143799</v>
      </c>
      <c r="I14" s="22">
        <v>1.4750518798828121</v>
      </c>
      <c r="J14" s="22">
        <v>1.492393493652344</v>
      </c>
      <c r="K14" s="22">
        <v>1.0084152221679689E-2</v>
      </c>
      <c r="L14" s="22">
        <v>1.766698360443115</v>
      </c>
      <c r="M14" s="19">
        <v>21</v>
      </c>
      <c r="N14" s="4"/>
      <c r="O14" s="4"/>
    </row>
    <row r="15" spans="1:15" x14ac:dyDescent="0.3">
      <c r="A15" s="4" t="s">
        <v>310</v>
      </c>
      <c r="B15" s="4" t="s">
        <v>328</v>
      </c>
      <c r="C15" s="19">
        <v>2</v>
      </c>
      <c r="D15" s="19">
        <v>1</v>
      </c>
      <c r="E15" s="4" t="s">
        <v>329</v>
      </c>
      <c r="F15" s="22">
        <v>25.42568135261536</v>
      </c>
      <c r="G15" s="22">
        <v>26.900553226470951</v>
      </c>
      <c r="H15" s="22">
        <v>27.369805335998539</v>
      </c>
      <c r="I15" s="22">
        <v>1.474871873855591</v>
      </c>
      <c r="J15" s="22">
        <v>1.9441239833831789</v>
      </c>
      <c r="K15" s="22">
        <v>4.3125152587890616E-3</v>
      </c>
      <c r="L15" s="22">
        <v>2.4125640392303471</v>
      </c>
      <c r="M15" s="19">
        <v>6</v>
      </c>
      <c r="N15" s="4"/>
      <c r="O15" s="4"/>
    </row>
    <row r="16" spans="1:15" x14ac:dyDescent="0.3">
      <c r="A16" s="4" t="s">
        <v>311</v>
      </c>
      <c r="B16" s="4" t="s">
        <v>328</v>
      </c>
      <c r="C16" s="19">
        <v>2</v>
      </c>
      <c r="D16" s="19">
        <v>1</v>
      </c>
      <c r="E16" s="4" t="s">
        <v>329</v>
      </c>
      <c r="F16" s="22">
        <v>25.31743597984314</v>
      </c>
      <c r="G16" s="22">
        <v>26.646625280380249</v>
      </c>
      <c r="H16" s="22">
        <v>27.150286674499512</v>
      </c>
      <c r="I16" s="22">
        <v>1.3291893005371089</v>
      </c>
      <c r="J16" s="22">
        <v>1.8328506946563721</v>
      </c>
      <c r="K16" s="22">
        <v>1.1049747467041021E-2</v>
      </c>
      <c r="L16" s="22">
        <v>2.1851999759674068</v>
      </c>
      <c r="M16" s="19">
        <v>1</v>
      </c>
      <c r="N16" s="4"/>
      <c r="O16" s="4"/>
    </row>
    <row r="17" spans="1:15" x14ac:dyDescent="0.3">
      <c r="A17" s="4" t="s">
        <v>312</v>
      </c>
      <c r="B17" s="4" t="s">
        <v>328</v>
      </c>
      <c r="C17" s="19">
        <v>2</v>
      </c>
      <c r="D17" s="19">
        <v>1</v>
      </c>
      <c r="E17" s="4" t="s">
        <v>329</v>
      </c>
      <c r="F17" s="22">
        <v>25.324196338653561</v>
      </c>
      <c r="G17" s="22">
        <v>26.96660208702087</v>
      </c>
      <c r="H17" s="22">
        <v>29.229565858840939</v>
      </c>
      <c r="I17" s="22">
        <v>1.64240574836731</v>
      </c>
      <c r="J17" s="22">
        <v>3.9053695201873779</v>
      </c>
      <c r="K17" s="22">
        <v>4.8353672027587891E-3</v>
      </c>
      <c r="L17" s="22">
        <v>3.7549674510955811</v>
      </c>
      <c r="M17" s="19">
        <v>5</v>
      </c>
      <c r="N17" s="4"/>
      <c r="O17" s="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workbookViewId="0">
      <pane ySplit="4" topLeftCell="A5" activePane="bottomLeft" state="frozen"/>
      <selection pane="bottomLeft"/>
    </sheetView>
  </sheetViews>
  <sheetFormatPr defaultRowHeight="14.4" x14ac:dyDescent="0.3"/>
  <cols>
    <col min="1" max="1" width="30" customWidth="1"/>
    <col min="2" max="2" width="22" customWidth="1"/>
    <col min="3" max="4" width="30" customWidth="1"/>
    <col min="5" max="6" width="20" customWidth="1"/>
    <col min="7" max="7" width="22" customWidth="1"/>
    <col min="8" max="8" width="23" customWidth="1"/>
    <col min="9" max="9" width="28" customWidth="1"/>
    <col min="10" max="10" width="20" customWidth="1"/>
    <col min="11" max="11" width="18" customWidth="1"/>
    <col min="12" max="12" width="19" customWidth="1"/>
    <col min="13" max="13" width="13" customWidth="1"/>
  </cols>
  <sheetData>
    <row r="1" spans="1:13" ht="17.399999999999999" x14ac:dyDescent="0.3">
      <c r="A1" s="14" t="s">
        <v>330</v>
      </c>
    </row>
    <row r="2" spans="1:13" x14ac:dyDescent="0.3">
      <c r="A2" s="2" t="s">
        <v>331</v>
      </c>
    </row>
    <row r="4" spans="1:13" x14ac:dyDescent="0.3">
      <c r="A4" s="3" t="s">
        <v>226</v>
      </c>
      <c r="B4" s="3" t="s">
        <v>332</v>
      </c>
      <c r="C4" s="3" t="s">
        <v>333</v>
      </c>
      <c r="D4" s="3" t="s">
        <v>334</v>
      </c>
      <c r="E4" s="3" t="s">
        <v>335</v>
      </c>
      <c r="F4" s="3" t="s">
        <v>336</v>
      </c>
      <c r="G4" s="3" t="s">
        <v>337</v>
      </c>
      <c r="H4" s="3" t="s">
        <v>338</v>
      </c>
      <c r="I4" s="3" t="s">
        <v>339</v>
      </c>
      <c r="J4" s="3" t="s">
        <v>340</v>
      </c>
      <c r="K4" s="3" t="s">
        <v>341</v>
      </c>
      <c r="L4" s="3" t="s">
        <v>342</v>
      </c>
      <c r="M4" s="3" t="s">
        <v>343</v>
      </c>
    </row>
    <row r="5" spans="1:13" x14ac:dyDescent="0.3">
      <c r="A5" s="19">
        <v>1</v>
      </c>
      <c r="B5" s="4" t="s">
        <v>344</v>
      </c>
      <c r="C5" s="4" t="s">
        <v>345</v>
      </c>
      <c r="D5" s="4" t="s">
        <v>346</v>
      </c>
      <c r="E5" s="21">
        <v>241.83142185211179</v>
      </c>
      <c r="F5" s="21">
        <v>232.391357421875</v>
      </c>
      <c r="G5" s="26">
        <v>-3.9035723141096768E-2</v>
      </c>
      <c r="H5" s="20">
        <v>2.721543311248277</v>
      </c>
      <c r="I5" s="20">
        <v>4.258074185247736</v>
      </c>
      <c r="J5" s="26">
        <v>0.56458071699571999</v>
      </c>
      <c r="K5" s="19" t="b">
        <v>1</v>
      </c>
      <c r="L5" s="20">
        <v>6.8997308777443864</v>
      </c>
      <c r="M5" s="11">
        <f t="shared" ref="M5:M10" si="0">ABS(G5)</f>
        <v>3.9035723141096768E-2</v>
      </c>
    </row>
    <row r="6" spans="1:13" x14ac:dyDescent="0.3">
      <c r="A6" s="19">
        <v>2</v>
      </c>
      <c r="B6" s="4" t="s">
        <v>344</v>
      </c>
      <c r="C6" s="4" t="s">
        <v>347</v>
      </c>
      <c r="D6" s="4" t="s">
        <v>348</v>
      </c>
      <c r="E6" s="21">
        <v>292.9835319519043</v>
      </c>
      <c r="F6" s="21">
        <v>232.783317565918</v>
      </c>
      <c r="G6" s="26">
        <v>-0.20547303114588941</v>
      </c>
      <c r="H6" s="20">
        <v>4.7213030171866093</v>
      </c>
      <c r="I6" s="20">
        <v>8.4849155821998199</v>
      </c>
      <c r="J6" s="26">
        <v>0.79715547833147138</v>
      </c>
      <c r="K6" s="19" t="b">
        <v>0</v>
      </c>
      <c r="L6" s="20">
        <v>6.8997308777443864</v>
      </c>
      <c r="M6" s="11">
        <f t="shared" si="0"/>
        <v>0.20547303114588941</v>
      </c>
    </row>
    <row r="7" spans="1:13" x14ac:dyDescent="0.3">
      <c r="A7" s="19">
        <v>4</v>
      </c>
      <c r="B7" s="4" t="s">
        <v>344</v>
      </c>
      <c r="C7" s="4" t="s">
        <v>349</v>
      </c>
      <c r="D7" s="4" t="s">
        <v>350</v>
      </c>
      <c r="E7" s="21">
        <v>414.20626640319819</v>
      </c>
      <c r="F7" s="21">
        <v>284.96909141540527</v>
      </c>
      <c r="G7" s="26">
        <v>-0.31201163640047502</v>
      </c>
      <c r="H7" s="20">
        <v>6.2895328368669396</v>
      </c>
      <c r="I7" s="20">
        <v>13.92197196212887</v>
      </c>
      <c r="J7" s="26">
        <v>1.2135144728911129</v>
      </c>
      <c r="K7" s="19" t="b">
        <v>0</v>
      </c>
      <c r="L7" s="20">
        <v>6.8997308777443864</v>
      </c>
      <c r="M7" s="11">
        <f t="shared" si="0"/>
        <v>0.31201163640047502</v>
      </c>
    </row>
    <row r="8" spans="1:13" x14ac:dyDescent="0.3">
      <c r="A8" s="19">
        <v>1</v>
      </c>
      <c r="B8" s="4" t="s">
        <v>351</v>
      </c>
      <c r="C8" s="4" t="s">
        <v>345</v>
      </c>
      <c r="D8" s="4" t="s">
        <v>352</v>
      </c>
      <c r="E8" s="21">
        <v>241.83142185211179</v>
      </c>
      <c r="F8" s="21">
        <v>56.392192840576172</v>
      </c>
      <c r="G8" s="26">
        <v>-0.76681197005465263</v>
      </c>
      <c r="H8" s="20">
        <v>2.721543311248277</v>
      </c>
      <c r="I8" s="20">
        <v>17.010548314001522</v>
      </c>
      <c r="J8" s="26">
        <v>5.2503316569301166</v>
      </c>
      <c r="K8" s="19" t="b">
        <v>0</v>
      </c>
      <c r="L8" s="20">
        <v>6.8997308777443864</v>
      </c>
      <c r="M8" s="11">
        <f t="shared" si="0"/>
        <v>0.76681197005465263</v>
      </c>
    </row>
    <row r="9" spans="1:13" x14ac:dyDescent="0.3">
      <c r="A9" s="19">
        <v>2</v>
      </c>
      <c r="B9" s="4" t="s">
        <v>351</v>
      </c>
      <c r="C9" s="4" t="s">
        <v>347</v>
      </c>
      <c r="D9" s="4" t="s">
        <v>353</v>
      </c>
      <c r="E9" s="21">
        <v>292.9835319519043</v>
      </c>
      <c r="F9" s="21">
        <v>56.49268627166748</v>
      </c>
      <c r="G9" s="26">
        <v>-0.80718135966447002</v>
      </c>
      <c r="H9" s="20">
        <v>4.7213030171866093</v>
      </c>
      <c r="I9" s="20">
        <v>34.340338536527298</v>
      </c>
      <c r="J9" s="26">
        <v>6.2734875121382192</v>
      </c>
      <c r="K9" s="19" t="b">
        <v>0</v>
      </c>
      <c r="L9" s="20">
        <v>6.8997308777443864</v>
      </c>
      <c r="M9" s="11">
        <f t="shared" si="0"/>
        <v>0.80718135966447002</v>
      </c>
    </row>
    <row r="10" spans="1:13" x14ac:dyDescent="0.3">
      <c r="A10" s="19">
        <v>4</v>
      </c>
      <c r="B10" s="4" t="s">
        <v>351</v>
      </c>
      <c r="C10" s="4" t="s">
        <v>349</v>
      </c>
      <c r="D10" s="4" t="s">
        <v>354</v>
      </c>
      <c r="E10" s="21">
        <v>414.20626640319819</v>
      </c>
      <c r="F10" s="21">
        <v>59.240818023681641</v>
      </c>
      <c r="G10" s="26">
        <v>-0.85697749447852334</v>
      </c>
      <c r="H10" s="20">
        <v>6.2895328368669396</v>
      </c>
      <c r="I10" s="20">
        <v>63.850331587544503</v>
      </c>
      <c r="J10" s="26">
        <v>9.151840087911971</v>
      </c>
      <c r="K10" s="19" t="b">
        <v>0</v>
      </c>
      <c r="L10" s="20">
        <v>6.8997308777443864</v>
      </c>
      <c r="M10" s="11">
        <f t="shared" si="0"/>
        <v>0.85697749447852334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3"/>
  <sheetViews>
    <sheetView workbookViewId="0">
      <pane ySplit="4" topLeftCell="A5" activePane="bottomLeft" state="frozen"/>
      <selection pane="bottomLeft"/>
    </sheetView>
  </sheetViews>
  <sheetFormatPr defaultRowHeight="14.4" x14ac:dyDescent="0.3"/>
  <cols>
    <col min="1" max="1" width="30" customWidth="1"/>
    <col min="2" max="2" width="11" customWidth="1"/>
    <col min="3" max="4" width="10" customWidth="1"/>
    <col min="5" max="5" width="23" customWidth="1"/>
    <col min="6" max="6" width="20" customWidth="1"/>
    <col min="7" max="7" width="26" customWidth="1"/>
    <col min="8" max="8" width="19" customWidth="1"/>
    <col min="9" max="9" width="20" customWidth="1"/>
    <col min="10" max="10" width="16" customWidth="1"/>
    <col min="11" max="11" width="23" customWidth="1"/>
    <col min="12" max="12" width="15" customWidth="1"/>
    <col min="13" max="13" width="30" customWidth="1"/>
    <col min="14" max="14" width="10" customWidth="1"/>
  </cols>
  <sheetData>
    <row r="1" spans="1:14" ht="17.399999999999999" x14ac:dyDescent="0.3">
      <c r="A1" s="14" t="s">
        <v>355</v>
      </c>
    </row>
    <row r="2" spans="1:14" x14ac:dyDescent="0.3">
      <c r="A2" s="2" t="s">
        <v>356</v>
      </c>
    </row>
    <row r="4" spans="1:14" x14ac:dyDescent="0.3">
      <c r="A4" s="3" t="s">
        <v>226</v>
      </c>
      <c r="B4" s="3" t="s">
        <v>227</v>
      </c>
      <c r="C4" s="3" t="s">
        <v>255</v>
      </c>
      <c r="D4" s="3" t="s">
        <v>291</v>
      </c>
      <c r="E4" s="3" t="s">
        <v>228</v>
      </c>
      <c r="F4" s="3" t="s">
        <v>229</v>
      </c>
      <c r="G4" s="3" t="s">
        <v>232</v>
      </c>
      <c r="H4" s="3" t="s">
        <v>357</v>
      </c>
      <c r="I4" s="3" t="s">
        <v>233</v>
      </c>
      <c r="J4" s="3" t="s">
        <v>235</v>
      </c>
      <c r="K4" s="3" t="s">
        <v>358</v>
      </c>
      <c r="L4" s="3" t="s">
        <v>259</v>
      </c>
      <c r="M4" s="3" t="s">
        <v>239</v>
      </c>
      <c r="N4" s="3" t="s">
        <v>240</v>
      </c>
    </row>
    <row r="5" spans="1:14" x14ac:dyDescent="0.3">
      <c r="A5" s="19">
        <v>1</v>
      </c>
      <c r="B5" s="19">
        <v>1000</v>
      </c>
      <c r="C5" s="19">
        <v>50</v>
      </c>
      <c r="D5" s="19">
        <v>20</v>
      </c>
      <c r="E5" s="21">
        <v>0.33086668695749222</v>
      </c>
      <c r="F5" s="21">
        <v>0.33333333333333331</v>
      </c>
      <c r="G5" s="21">
        <v>0.32740272372664392</v>
      </c>
      <c r="H5" s="21">
        <v>333.33333333333331</v>
      </c>
      <c r="I5" s="22">
        <v>3.0545389439999719</v>
      </c>
      <c r="J5" s="22">
        <v>3.0543423359999999</v>
      </c>
      <c r="K5" s="22">
        <v>9.926000608724765E-4</v>
      </c>
      <c r="L5" s="19">
        <v>52</v>
      </c>
      <c r="M5" s="4" t="s">
        <v>359</v>
      </c>
      <c r="N5" s="5">
        <f t="shared" ref="N5:N13" si="0">E5/F5</f>
        <v>0.99260006087247665</v>
      </c>
    </row>
    <row r="6" spans="1:14" x14ac:dyDescent="0.3">
      <c r="A6" s="19">
        <v>10</v>
      </c>
      <c r="B6" s="19">
        <v>1000</v>
      </c>
      <c r="C6" s="19">
        <v>50</v>
      </c>
      <c r="D6" s="19">
        <v>20</v>
      </c>
      <c r="E6" s="21">
        <v>3.308666869574922</v>
      </c>
      <c r="F6" s="21">
        <v>3.333333333333333</v>
      </c>
      <c r="G6" s="21">
        <v>3.2740272372664392</v>
      </c>
      <c r="H6" s="21">
        <v>333.33333333333331</v>
      </c>
      <c r="I6" s="22">
        <v>3.0545389439999719</v>
      </c>
      <c r="J6" s="22">
        <v>3.0543423359999999</v>
      </c>
      <c r="K6" s="22">
        <v>9.9260006087247658E-3</v>
      </c>
      <c r="L6" s="19">
        <v>520</v>
      </c>
      <c r="M6" s="4" t="s">
        <v>360</v>
      </c>
      <c r="N6" s="5">
        <f t="shared" si="0"/>
        <v>0.99260006087247665</v>
      </c>
    </row>
    <row r="7" spans="1:14" x14ac:dyDescent="0.3">
      <c r="A7" s="19">
        <v>50</v>
      </c>
      <c r="B7" s="19">
        <v>1000</v>
      </c>
      <c r="C7" s="19">
        <v>50</v>
      </c>
      <c r="D7" s="19">
        <v>20</v>
      </c>
      <c r="E7" s="21">
        <v>16.53071085919392</v>
      </c>
      <c r="F7" s="21">
        <v>16.666666666666671</v>
      </c>
      <c r="G7" s="21">
        <v>16.370136186332189</v>
      </c>
      <c r="H7" s="21">
        <v>333.33333333333331</v>
      </c>
      <c r="I7" s="22">
        <v>3.0545389439999719</v>
      </c>
      <c r="J7" s="22">
        <v>3.0543423359999999</v>
      </c>
      <c r="K7" s="22">
        <v>4.9592132577581778E-2</v>
      </c>
      <c r="L7" s="19">
        <v>2600</v>
      </c>
      <c r="M7" s="4" t="s">
        <v>361</v>
      </c>
      <c r="N7" s="5">
        <f t="shared" si="0"/>
        <v>0.99184265155163498</v>
      </c>
    </row>
    <row r="8" spans="1:14" x14ac:dyDescent="0.3">
      <c r="A8" s="19">
        <v>100</v>
      </c>
      <c r="B8" s="19">
        <v>1000</v>
      </c>
      <c r="C8" s="19">
        <v>50</v>
      </c>
      <c r="D8" s="19">
        <v>20</v>
      </c>
      <c r="E8" s="21">
        <v>33.036213241358041</v>
      </c>
      <c r="F8" s="21">
        <v>33.333333333333343</v>
      </c>
      <c r="G8" s="21">
        <v>32.740272372664393</v>
      </c>
      <c r="H8" s="21">
        <v>333.33333333333331</v>
      </c>
      <c r="I8" s="22">
        <v>3.0545389439999719</v>
      </c>
      <c r="J8" s="22">
        <v>3.0543423359999999</v>
      </c>
      <c r="K8" s="22">
        <v>9.9108639724074132E-2</v>
      </c>
      <c r="L8" s="19">
        <v>5200</v>
      </c>
      <c r="M8" s="4" t="s">
        <v>362</v>
      </c>
      <c r="N8" s="5">
        <f t="shared" si="0"/>
        <v>0.99108639724074099</v>
      </c>
    </row>
    <row r="9" spans="1:14" x14ac:dyDescent="0.3">
      <c r="A9" s="19">
        <v>250</v>
      </c>
      <c r="B9" s="19">
        <v>1000</v>
      </c>
      <c r="C9" s="19">
        <v>50</v>
      </c>
      <c r="D9" s="19">
        <v>20</v>
      </c>
      <c r="E9" s="21">
        <v>82.339406451448923</v>
      </c>
      <c r="F9" s="21">
        <v>83.333333333333329</v>
      </c>
      <c r="G9" s="21">
        <v>81.85068093166096</v>
      </c>
      <c r="H9" s="21">
        <v>333.33333333333331</v>
      </c>
      <c r="I9" s="22">
        <v>3.0545389439999719</v>
      </c>
      <c r="J9" s="22">
        <v>3.0543423359999999</v>
      </c>
      <c r="K9" s="22">
        <v>0.24701821935434681</v>
      </c>
      <c r="L9" s="19">
        <v>13000</v>
      </c>
      <c r="M9" s="4" t="s">
        <v>363</v>
      </c>
      <c r="N9" s="5">
        <f t="shared" si="0"/>
        <v>0.98807287741738714</v>
      </c>
    </row>
    <row r="10" spans="1:14" x14ac:dyDescent="0.3">
      <c r="A10" s="19">
        <v>500</v>
      </c>
      <c r="B10" s="19">
        <v>1000</v>
      </c>
      <c r="C10" s="19">
        <v>50</v>
      </c>
      <c r="D10" s="19">
        <v>20</v>
      </c>
      <c r="E10" s="21">
        <v>163.9311338063543</v>
      </c>
      <c r="F10" s="21">
        <v>166.66666666666671</v>
      </c>
      <c r="G10" s="21">
        <v>163.70136186332189</v>
      </c>
      <c r="H10" s="21">
        <v>333.33333333333331</v>
      </c>
      <c r="I10" s="22">
        <v>3.0545389439999719</v>
      </c>
      <c r="J10" s="22">
        <v>3.0543423359999999</v>
      </c>
      <c r="K10" s="22">
        <v>0.49179340141906303</v>
      </c>
      <c r="L10" s="19">
        <v>26000</v>
      </c>
      <c r="M10" s="4" t="s">
        <v>364</v>
      </c>
      <c r="N10" s="5">
        <f t="shared" si="0"/>
        <v>0.9835868028381255</v>
      </c>
    </row>
    <row r="11" spans="1:14" x14ac:dyDescent="0.3">
      <c r="A11" s="19">
        <v>1000</v>
      </c>
      <c r="B11" s="19">
        <v>1000</v>
      </c>
      <c r="C11" s="19">
        <v>50</v>
      </c>
      <c r="D11" s="19">
        <v>20</v>
      </c>
      <c r="E11" s="21">
        <v>327.53405078579908</v>
      </c>
      <c r="F11" s="21">
        <v>333.33333333333331</v>
      </c>
      <c r="G11" s="21">
        <v>327.40272372664379</v>
      </c>
      <c r="H11" s="21">
        <v>333.33333333333331</v>
      </c>
      <c r="I11" s="22">
        <v>3.0544734080002338</v>
      </c>
      <c r="J11" s="22">
        <v>3.0543423359999999</v>
      </c>
      <c r="K11" s="22">
        <v>0.98260215235739734</v>
      </c>
      <c r="L11" s="19">
        <v>52400</v>
      </c>
      <c r="M11" s="4" t="s">
        <v>365</v>
      </c>
      <c r="N11" s="5">
        <f t="shared" si="0"/>
        <v>0.98260215235739734</v>
      </c>
    </row>
    <row r="12" spans="1:14" x14ac:dyDescent="0.3">
      <c r="A12" s="19">
        <v>1500</v>
      </c>
      <c r="B12" s="19">
        <v>1000</v>
      </c>
      <c r="C12" s="19">
        <v>50</v>
      </c>
      <c r="D12" s="19">
        <v>20</v>
      </c>
      <c r="E12" s="21">
        <v>333.36225330623978</v>
      </c>
      <c r="F12" s="21">
        <v>333.33333333333331</v>
      </c>
      <c r="G12" s="21">
        <v>333.33333333333343</v>
      </c>
      <c r="H12" s="21">
        <v>333.33333333333331</v>
      </c>
      <c r="I12" s="22">
        <v>4.5002909798400594</v>
      </c>
      <c r="J12" s="22">
        <v>3.0543423359999999</v>
      </c>
      <c r="K12" s="22">
        <v>1.00008675991872</v>
      </c>
      <c r="L12" s="19">
        <v>53320</v>
      </c>
      <c r="M12" s="4" t="s">
        <v>366</v>
      </c>
      <c r="N12" s="5">
        <f t="shared" si="0"/>
        <v>1.0000867599187193</v>
      </c>
    </row>
    <row r="13" spans="1:14" x14ac:dyDescent="0.3">
      <c r="A13" s="19">
        <v>2000</v>
      </c>
      <c r="B13" s="19">
        <v>1000</v>
      </c>
      <c r="C13" s="19">
        <v>50</v>
      </c>
      <c r="D13" s="19">
        <v>20</v>
      </c>
      <c r="E13" s="21">
        <v>333.3627887444996</v>
      </c>
      <c r="F13" s="21">
        <v>333.33333333333331</v>
      </c>
      <c r="G13" s="21">
        <v>333.33333333333343</v>
      </c>
      <c r="H13" s="21">
        <v>333.33333333333331</v>
      </c>
      <c r="I13" s="22">
        <v>6.0004037017600353</v>
      </c>
      <c r="J13" s="22">
        <v>3.0543423359999999</v>
      </c>
      <c r="K13" s="22">
        <v>1.0000883662334989</v>
      </c>
      <c r="L13" s="19">
        <v>53320</v>
      </c>
      <c r="M13" s="4" t="s">
        <v>367</v>
      </c>
      <c r="N13" s="5">
        <f t="shared" si="0"/>
        <v>1.0000883662334989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30"/>
  <sheetViews>
    <sheetView workbookViewId="0">
      <pane ySplit="4" topLeftCell="A5" activePane="bottomLeft" state="frozen"/>
      <selection pane="bottomLeft"/>
    </sheetView>
  </sheetViews>
  <sheetFormatPr defaultRowHeight="14.4" x14ac:dyDescent="0.3"/>
  <cols>
    <col min="1" max="1" width="30" customWidth="1"/>
    <col min="2" max="2" width="22" customWidth="1"/>
    <col min="3" max="3" width="15" customWidth="1"/>
    <col min="4" max="5" width="10" customWidth="1"/>
    <col min="6" max="7" width="30" customWidth="1"/>
    <col min="8" max="8" width="18" customWidth="1"/>
    <col min="9" max="9" width="16" customWidth="1"/>
    <col min="10" max="10" width="26" customWidth="1"/>
    <col min="11" max="11" width="24" customWidth="1"/>
    <col min="12" max="13" width="30" customWidth="1"/>
    <col min="14" max="14" width="26" customWidth="1"/>
    <col min="15" max="16" width="24" customWidth="1"/>
    <col min="17" max="17" width="27" customWidth="1"/>
    <col min="18" max="18" width="28" customWidth="1"/>
    <col min="19" max="20" width="26" customWidth="1"/>
    <col min="21" max="21" width="29" customWidth="1"/>
    <col min="22" max="22" width="28" customWidth="1"/>
    <col min="23" max="24" width="26" customWidth="1"/>
    <col min="25" max="25" width="29" customWidth="1"/>
    <col min="26" max="26" width="24" customWidth="1"/>
    <col min="27" max="27" width="22" customWidth="1"/>
    <col min="28" max="28" width="24" customWidth="1"/>
    <col min="29" max="29" width="25" customWidth="1"/>
    <col min="30" max="30" width="26" customWidth="1"/>
    <col min="31" max="32" width="24" customWidth="1"/>
    <col min="33" max="33" width="27" customWidth="1"/>
  </cols>
  <sheetData>
    <row r="1" spans="1:33" ht="17.399999999999999" x14ac:dyDescent="0.3">
      <c r="A1" s="14" t="s">
        <v>368</v>
      </c>
    </row>
    <row r="2" spans="1:33" x14ac:dyDescent="0.3">
      <c r="A2" s="2" t="s">
        <v>369</v>
      </c>
    </row>
    <row r="4" spans="1:33" ht="26.4" x14ac:dyDescent="0.3">
      <c r="A4" s="3" t="s">
        <v>370</v>
      </c>
      <c r="B4" s="3" t="s">
        <v>371</v>
      </c>
      <c r="C4" s="3" t="s">
        <v>226</v>
      </c>
      <c r="D4" s="3" t="s">
        <v>255</v>
      </c>
      <c r="E4" s="3" t="s">
        <v>291</v>
      </c>
      <c r="F4" s="3" t="s">
        <v>372</v>
      </c>
      <c r="G4" s="3" t="s">
        <v>373</v>
      </c>
      <c r="H4" s="3" t="s">
        <v>374</v>
      </c>
      <c r="I4" s="3" t="s">
        <v>375</v>
      </c>
      <c r="J4" s="3" t="s">
        <v>376</v>
      </c>
      <c r="K4" s="3" t="s">
        <v>377</v>
      </c>
      <c r="L4" s="3" t="s">
        <v>378</v>
      </c>
      <c r="M4" s="3" t="s">
        <v>379</v>
      </c>
      <c r="N4" s="3" t="s">
        <v>380</v>
      </c>
      <c r="O4" s="3" t="s">
        <v>381</v>
      </c>
      <c r="P4" s="3" t="s">
        <v>382</v>
      </c>
      <c r="Q4" s="3" t="s">
        <v>383</v>
      </c>
      <c r="R4" s="3" t="s">
        <v>384</v>
      </c>
      <c r="S4" s="3" t="s">
        <v>385</v>
      </c>
      <c r="T4" s="3" t="s">
        <v>386</v>
      </c>
      <c r="U4" s="3" t="s">
        <v>387</v>
      </c>
      <c r="V4" s="3" t="s">
        <v>388</v>
      </c>
      <c r="W4" s="3" t="s">
        <v>389</v>
      </c>
      <c r="X4" s="3" t="s">
        <v>390</v>
      </c>
      <c r="Y4" s="3" t="s">
        <v>391</v>
      </c>
      <c r="Z4" s="3" t="s">
        <v>392</v>
      </c>
      <c r="AA4" s="3" t="s">
        <v>393</v>
      </c>
      <c r="AB4" s="3" t="s">
        <v>394</v>
      </c>
      <c r="AC4" s="3" t="s">
        <v>395</v>
      </c>
      <c r="AD4" s="3" t="s">
        <v>396</v>
      </c>
      <c r="AE4" s="3" t="s">
        <v>397</v>
      </c>
      <c r="AF4" s="3" t="s">
        <v>398</v>
      </c>
      <c r="AG4" s="3" t="s">
        <v>399</v>
      </c>
    </row>
    <row r="5" spans="1:33" x14ac:dyDescent="0.3">
      <c r="A5" s="4" t="s">
        <v>8</v>
      </c>
      <c r="B5" s="4" t="s">
        <v>400</v>
      </c>
      <c r="C5" s="19">
        <v>1</v>
      </c>
      <c r="D5" s="19">
        <v>3</v>
      </c>
      <c r="E5" s="19">
        <v>2</v>
      </c>
      <c r="F5" s="4" t="s">
        <v>243</v>
      </c>
      <c r="G5" s="4" t="s">
        <v>401</v>
      </c>
      <c r="H5" s="19">
        <v>647</v>
      </c>
      <c r="I5" s="19">
        <v>661</v>
      </c>
      <c r="J5" s="19">
        <v>1.219197662612578</v>
      </c>
      <c r="K5" s="19">
        <v>0.82553411639404306</v>
      </c>
      <c r="L5" s="19">
        <v>0.17237663269042969</v>
      </c>
      <c r="M5" s="19">
        <v>0</v>
      </c>
      <c r="N5" s="20">
        <v>84.524154663085938</v>
      </c>
      <c r="O5" s="20">
        <v>83.153060653408772</v>
      </c>
      <c r="P5" s="26">
        <v>-1.622132768014491E-2</v>
      </c>
      <c r="Q5" s="19" t="b">
        <v>1</v>
      </c>
      <c r="R5" s="20">
        <v>11.228493335345791</v>
      </c>
      <c r="S5" s="20">
        <v>12.028556653660701</v>
      </c>
      <c r="T5" s="26">
        <v>7.1252953928949342E-2</v>
      </c>
      <c r="U5" s="19" t="b">
        <v>1</v>
      </c>
      <c r="V5" s="19">
        <v>21.24333381652832</v>
      </c>
      <c r="W5" s="19">
        <v>21.24541206261258</v>
      </c>
      <c r="X5" s="26">
        <v>9.7830505428443351E-5</v>
      </c>
      <c r="Y5" s="19" t="b">
        <v>1</v>
      </c>
      <c r="Z5" s="19">
        <v>4.5390430029859754</v>
      </c>
      <c r="AA5" s="19">
        <v>4.5195074497273762</v>
      </c>
      <c r="AB5" s="26">
        <v>-4.3038925266288587E-3</v>
      </c>
      <c r="AC5" s="19" t="b">
        <v>1</v>
      </c>
      <c r="AD5" s="19">
        <v>0.18660018641822179</v>
      </c>
      <c r="AE5" s="19">
        <v>0</v>
      </c>
      <c r="AF5" s="26">
        <v>-1</v>
      </c>
      <c r="AG5" s="19" t="b">
        <v>0</v>
      </c>
    </row>
    <row r="6" spans="1:33" x14ac:dyDescent="0.3">
      <c r="A6" s="4" t="s">
        <v>8</v>
      </c>
      <c r="B6" s="4" t="s">
        <v>402</v>
      </c>
      <c r="C6" s="19">
        <v>2</v>
      </c>
      <c r="D6" s="19">
        <v>3</v>
      </c>
      <c r="E6" s="19">
        <v>2</v>
      </c>
      <c r="F6" s="4" t="s">
        <v>244</v>
      </c>
      <c r="G6" s="4" t="s">
        <v>403</v>
      </c>
      <c r="H6" s="19">
        <v>1299</v>
      </c>
      <c r="I6" s="19">
        <v>1326</v>
      </c>
      <c r="J6" s="19">
        <v>1.208349617263456</v>
      </c>
      <c r="K6" s="19">
        <v>0.78130746997070322</v>
      </c>
      <c r="L6" s="19">
        <v>0.1664161682128906</v>
      </c>
      <c r="M6" s="19">
        <v>0</v>
      </c>
      <c r="N6" s="20">
        <v>84.24067497253418</v>
      </c>
      <c r="O6" s="20">
        <v>82.94360993166805</v>
      </c>
      <c r="P6" s="26">
        <v>-1.5397134950414689E-2</v>
      </c>
      <c r="Q6" s="19" t="b">
        <v>1</v>
      </c>
      <c r="R6" s="20">
        <v>22.564703495955929</v>
      </c>
      <c r="S6" s="20">
        <v>24.123379016390771</v>
      </c>
      <c r="T6" s="26">
        <v>6.9075825468488602E-2</v>
      </c>
      <c r="U6" s="19" t="b">
        <v>1</v>
      </c>
      <c r="V6" s="19">
        <v>21.231889724731449</v>
      </c>
      <c r="W6" s="19">
        <v>21.234564017263459</v>
      </c>
      <c r="X6" s="26">
        <v>1.2595640645660149E-4</v>
      </c>
      <c r="Y6" s="19" t="b">
        <v>1</v>
      </c>
      <c r="Z6" s="19">
        <v>4.659311919562561</v>
      </c>
      <c r="AA6" s="19">
        <v>4.4766276792262367</v>
      </c>
      <c r="AB6" s="26">
        <v>-3.9208416068756247E-2</v>
      </c>
      <c r="AC6" s="19" t="b">
        <v>1</v>
      </c>
      <c r="AD6" s="19">
        <v>0.1784896752622474</v>
      </c>
      <c r="AE6" s="19">
        <v>0</v>
      </c>
      <c r="AF6" s="26">
        <v>-1</v>
      </c>
      <c r="AG6" s="19" t="b">
        <v>0</v>
      </c>
    </row>
    <row r="7" spans="1:33" x14ac:dyDescent="0.3">
      <c r="A7" s="4" t="s">
        <v>8</v>
      </c>
      <c r="B7" s="4" t="s">
        <v>404</v>
      </c>
      <c r="C7" s="19">
        <v>3</v>
      </c>
      <c r="D7" s="19">
        <v>3</v>
      </c>
      <c r="E7" s="19">
        <v>2</v>
      </c>
      <c r="F7" s="4" t="s">
        <v>245</v>
      </c>
      <c r="G7" s="4" t="s">
        <v>405</v>
      </c>
      <c r="H7" s="19">
        <v>1944</v>
      </c>
      <c r="I7" s="19">
        <v>1995</v>
      </c>
      <c r="J7" s="19">
        <v>1.199051292678496</v>
      </c>
      <c r="K7" s="19">
        <v>0.72498108065795908</v>
      </c>
      <c r="L7" s="19">
        <v>0.15902519226074219</v>
      </c>
      <c r="M7" s="19">
        <v>0</v>
      </c>
      <c r="N7" s="20">
        <v>84.113836288452148</v>
      </c>
      <c r="O7" s="20">
        <v>82.69040940066219</v>
      </c>
      <c r="P7" s="26">
        <v>-1.6922624749970871E-2</v>
      </c>
      <c r="Q7" s="19" t="b">
        <v>1</v>
      </c>
      <c r="R7" s="20">
        <v>33.759524445279091</v>
      </c>
      <c r="S7" s="20">
        <v>36.291885436793052</v>
      </c>
      <c r="T7" s="26">
        <v>7.5011749517344808E-2</v>
      </c>
      <c r="U7" s="19" t="b">
        <v>1</v>
      </c>
      <c r="V7" s="19">
        <v>21.222591400146481</v>
      </c>
      <c r="W7" s="19">
        <v>21.225265692678491</v>
      </c>
      <c r="X7" s="26">
        <v>1.2601159215606231E-4</v>
      </c>
      <c r="Y7" s="19" t="b">
        <v>1</v>
      </c>
      <c r="Z7" s="19">
        <v>4.5531961752984991</v>
      </c>
      <c r="AA7" s="19">
        <v>4.4198494797888301</v>
      </c>
      <c r="AB7" s="26">
        <v>-2.9286393639941719E-2</v>
      </c>
      <c r="AC7" s="19" t="b">
        <v>1</v>
      </c>
      <c r="AD7" s="19">
        <v>0.21662314391901299</v>
      </c>
      <c r="AE7" s="19">
        <v>0</v>
      </c>
      <c r="AF7" s="26">
        <v>-1</v>
      </c>
      <c r="AG7" s="19" t="b">
        <v>0</v>
      </c>
    </row>
    <row r="8" spans="1:33" x14ac:dyDescent="0.3">
      <c r="A8" s="4" t="s">
        <v>8</v>
      </c>
      <c r="B8" s="4" t="s">
        <v>406</v>
      </c>
      <c r="C8" s="19">
        <v>4</v>
      </c>
      <c r="D8" s="19">
        <v>3</v>
      </c>
      <c r="E8" s="19">
        <v>2</v>
      </c>
      <c r="F8" s="4" t="s">
        <v>246</v>
      </c>
      <c r="G8" s="4" t="s">
        <v>407</v>
      </c>
      <c r="H8" s="19">
        <v>2589</v>
      </c>
      <c r="I8" s="19">
        <v>2662</v>
      </c>
      <c r="J8" s="19">
        <v>1.202389152785917</v>
      </c>
      <c r="K8" s="19">
        <v>0.70489431536865244</v>
      </c>
      <c r="L8" s="19">
        <v>0.15926361083984381</v>
      </c>
      <c r="M8" s="19">
        <v>0</v>
      </c>
      <c r="N8" s="20">
        <v>84.147214889526367</v>
      </c>
      <c r="O8" s="20">
        <v>82.620075919827229</v>
      </c>
      <c r="P8" s="26">
        <v>-1.8148419667888709E-2</v>
      </c>
      <c r="Q8" s="19" t="b">
        <v>1</v>
      </c>
      <c r="R8" s="20">
        <v>44.944281080913832</v>
      </c>
      <c r="S8" s="20">
        <v>48.41640081369529</v>
      </c>
      <c r="T8" s="26">
        <v>7.725387188929686E-2</v>
      </c>
      <c r="U8" s="19" t="b">
        <v>1</v>
      </c>
      <c r="V8" s="19">
        <v>21.225214004516602</v>
      </c>
      <c r="W8" s="19">
        <v>21.22860355278592</v>
      </c>
      <c r="X8" s="26">
        <v>1.5969442138926961E-4</v>
      </c>
      <c r="Y8" s="19" t="b">
        <v>1</v>
      </c>
      <c r="Z8" s="19">
        <v>4.5062072374451763</v>
      </c>
      <c r="AA8" s="19">
        <v>4.3992028501708562</v>
      </c>
      <c r="AB8" s="26">
        <v>-2.3745997828317121E-2</v>
      </c>
      <c r="AC8" s="19" t="b">
        <v>1</v>
      </c>
      <c r="AD8" s="19">
        <v>0.34452172810078102</v>
      </c>
      <c r="AE8" s="19">
        <v>0</v>
      </c>
      <c r="AF8" s="26">
        <v>-1</v>
      </c>
      <c r="AG8" s="19" t="b">
        <v>0</v>
      </c>
    </row>
    <row r="9" spans="1:33" x14ac:dyDescent="0.3">
      <c r="A9" s="4" t="s">
        <v>8</v>
      </c>
      <c r="B9" s="4" t="s">
        <v>408</v>
      </c>
      <c r="C9" s="19">
        <v>6</v>
      </c>
      <c r="D9" s="19">
        <v>3</v>
      </c>
      <c r="E9" s="19">
        <v>2</v>
      </c>
      <c r="F9" s="4" t="s">
        <v>247</v>
      </c>
      <c r="G9" s="4" t="s">
        <v>409</v>
      </c>
      <c r="H9" s="19">
        <v>3908</v>
      </c>
      <c r="I9" s="19">
        <v>4024</v>
      </c>
      <c r="J9" s="19">
        <v>1.043363960525175</v>
      </c>
      <c r="K9" s="19">
        <v>0.6796815506286622</v>
      </c>
      <c r="L9" s="19">
        <v>0.14853477478027341</v>
      </c>
      <c r="M9" s="19">
        <v>0</v>
      </c>
      <c r="N9" s="20">
        <v>83.893299102783203</v>
      </c>
      <c r="O9" s="20">
        <v>82.042149284085042</v>
      </c>
      <c r="P9" s="26">
        <v>-2.2065526549745001E-2</v>
      </c>
      <c r="Q9" s="19" t="b">
        <v>1</v>
      </c>
      <c r="R9" s="20">
        <v>67.817708292260917</v>
      </c>
      <c r="S9" s="20">
        <v>73.172858726664543</v>
      </c>
      <c r="T9" s="26">
        <v>7.8963895555502484E-2</v>
      </c>
      <c r="U9" s="19" t="b">
        <v>1</v>
      </c>
      <c r="V9" s="19">
        <v>21.112680435180661</v>
      </c>
      <c r="W9" s="19">
        <v>21.069578360525171</v>
      </c>
      <c r="X9" s="26">
        <v>-2.041525460863215E-3</v>
      </c>
      <c r="Y9" s="19" t="b">
        <v>1</v>
      </c>
      <c r="Z9" s="19">
        <v>4.5265772814880467</v>
      </c>
      <c r="AA9" s="19">
        <v>4.3740987813978931</v>
      </c>
      <c r="AB9" s="26">
        <v>-3.3685164442841128E-2</v>
      </c>
      <c r="AC9" s="19" t="b">
        <v>1</v>
      </c>
      <c r="AD9" s="19">
        <v>0.2415875381898103</v>
      </c>
      <c r="AE9" s="19">
        <v>1.7669331956899039E-15</v>
      </c>
      <c r="AF9" s="26">
        <v>-0.99999999999999267</v>
      </c>
      <c r="AG9" s="19" t="b">
        <v>0</v>
      </c>
    </row>
    <row r="10" spans="1:33" x14ac:dyDescent="0.3">
      <c r="A10" s="4" t="s">
        <v>8</v>
      </c>
      <c r="B10" s="4" t="s">
        <v>410</v>
      </c>
      <c r="C10" s="19">
        <v>8</v>
      </c>
      <c r="D10" s="19">
        <v>3</v>
      </c>
      <c r="E10" s="19">
        <v>2</v>
      </c>
      <c r="F10" s="4" t="s">
        <v>248</v>
      </c>
      <c r="G10" s="4" t="s">
        <v>411</v>
      </c>
      <c r="H10" s="19">
        <v>5120</v>
      </c>
      <c r="I10" s="19">
        <v>5278</v>
      </c>
      <c r="J10" s="19">
        <v>0.82151547267117142</v>
      </c>
      <c r="K10" s="19">
        <v>0.64958120501708994</v>
      </c>
      <c r="L10" s="19">
        <v>0.26154518127441412</v>
      </c>
      <c r="M10" s="19">
        <v>3.6408888917094369E-3</v>
      </c>
      <c r="N10" s="20">
        <v>85.001111030578613</v>
      </c>
      <c r="O10" s="20">
        <v>83.389463135134179</v>
      </c>
      <c r="P10" s="26">
        <v>-1.896031564651731E-2</v>
      </c>
      <c r="Q10" s="19" t="b">
        <v>1</v>
      </c>
      <c r="R10" s="20">
        <v>88.869581325862143</v>
      </c>
      <c r="S10" s="20">
        <v>95.969608369021373</v>
      </c>
      <c r="T10" s="26">
        <v>7.9892657726441149E-2</v>
      </c>
      <c r="U10" s="19" t="b">
        <v>1</v>
      </c>
      <c r="V10" s="19">
        <v>20.835161209106449</v>
      </c>
      <c r="W10" s="19">
        <v>20.84772987267117</v>
      </c>
      <c r="X10" s="26">
        <v>6.0324292375676263E-4</v>
      </c>
      <c r="Y10" s="19" t="b">
        <v>1</v>
      </c>
      <c r="Z10" s="19">
        <v>4.5364388644089448</v>
      </c>
      <c r="AA10" s="19">
        <v>4.343554538350423</v>
      </c>
      <c r="AB10" s="26">
        <v>-4.2518885809707217E-2</v>
      </c>
      <c r="AC10" s="19" t="b">
        <v>1</v>
      </c>
      <c r="AD10" s="19">
        <v>0.90669041534932848</v>
      </c>
      <c r="AE10" s="19">
        <v>0.7114520000301181</v>
      </c>
      <c r="AF10" s="26">
        <v>-0.21533084723741031</v>
      </c>
      <c r="AG10" s="19" t="b">
        <v>1</v>
      </c>
    </row>
    <row r="11" spans="1:33" x14ac:dyDescent="0.3">
      <c r="A11" s="4" t="s">
        <v>8</v>
      </c>
      <c r="B11" s="4" t="s">
        <v>412</v>
      </c>
      <c r="C11" s="19">
        <v>12</v>
      </c>
      <c r="D11" s="19">
        <v>3</v>
      </c>
      <c r="E11" s="19">
        <v>2</v>
      </c>
      <c r="F11" s="4" t="s">
        <v>249</v>
      </c>
      <c r="G11" s="4" t="s">
        <v>413</v>
      </c>
      <c r="H11" s="19">
        <v>5162</v>
      </c>
      <c r="I11" s="19">
        <v>5248</v>
      </c>
      <c r="J11" s="19">
        <v>0.93482390238918889</v>
      </c>
      <c r="K11" s="19">
        <v>0.66144252932739267</v>
      </c>
      <c r="L11" s="19">
        <v>15.412211418151861</v>
      </c>
      <c r="M11" s="19">
        <v>4.3690666657880683E-3</v>
      </c>
      <c r="N11" s="20">
        <v>127.8901100158691</v>
      </c>
      <c r="O11" s="20">
        <v>125.764045281004</v>
      </c>
      <c r="P11" s="26">
        <v>-1.662415283403295E-2</v>
      </c>
      <c r="Q11" s="19" t="b">
        <v>1</v>
      </c>
      <c r="R11" s="20">
        <v>89.546012486730021</v>
      </c>
      <c r="S11" s="20">
        <v>95.440357610996784</v>
      </c>
      <c r="T11" s="26">
        <v>6.5824763834573391E-2</v>
      </c>
      <c r="U11" s="19" t="b">
        <v>1</v>
      </c>
      <c r="V11" s="19">
        <v>20.927667617797852</v>
      </c>
      <c r="W11" s="19">
        <v>20.960310124611411</v>
      </c>
      <c r="X11" s="26">
        <v>1.5597775829447179E-3</v>
      </c>
      <c r="Y11" s="19" t="b">
        <v>1</v>
      </c>
      <c r="Z11" s="19">
        <v>4.6148352114951416</v>
      </c>
      <c r="AA11" s="19">
        <v>4.35558597634137</v>
      </c>
      <c r="AB11" s="26">
        <v>-5.6177354829053262E-2</v>
      </c>
      <c r="AC11" s="19" t="b">
        <v>1</v>
      </c>
      <c r="AD11" s="19">
        <v>15.509505604230251</v>
      </c>
      <c r="AE11" s="19">
        <v>14.705311960105149</v>
      </c>
      <c r="AF11" s="26">
        <v>-5.1851662112669297E-2</v>
      </c>
      <c r="AG11" s="19" t="b">
        <v>1</v>
      </c>
    </row>
    <row r="12" spans="1:33" x14ac:dyDescent="0.3">
      <c r="A12" s="4" t="s">
        <v>8</v>
      </c>
      <c r="B12" s="4" t="s">
        <v>414</v>
      </c>
      <c r="C12" s="19">
        <v>16</v>
      </c>
      <c r="D12" s="19">
        <v>3</v>
      </c>
      <c r="E12" s="19">
        <v>2</v>
      </c>
      <c r="F12" s="4" t="s">
        <v>250</v>
      </c>
      <c r="G12" s="4" t="s">
        <v>415</v>
      </c>
      <c r="H12" s="19">
        <v>5318</v>
      </c>
      <c r="I12" s="19">
        <v>5264</v>
      </c>
      <c r="J12" s="19">
        <v>0.86699381663479447</v>
      </c>
      <c r="K12" s="19">
        <v>0.63885236895751962</v>
      </c>
      <c r="L12" s="19">
        <v>22.252202033996578</v>
      </c>
      <c r="M12" s="19">
        <v>3.6408888917094369E-3</v>
      </c>
      <c r="N12" s="20">
        <v>169.5966720581055</v>
      </c>
      <c r="O12" s="20">
        <v>167.14275302197731</v>
      </c>
      <c r="P12" s="26">
        <v>-1.446914615923236E-2</v>
      </c>
      <c r="Q12" s="19" t="b">
        <v>1</v>
      </c>
      <c r="R12" s="20">
        <v>92.212801280591322</v>
      </c>
      <c r="S12" s="20">
        <v>95.741973628155932</v>
      </c>
      <c r="T12" s="26">
        <v>3.8272043561780621E-2</v>
      </c>
      <c r="U12" s="19" t="b">
        <v>1</v>
      </c>
      <c r="V12" s="19">
        <v>20.892620086669918</v>
      </c>
      <c r="W12" s="19">
        <v>20.89320821663479</v>
      </c>
      <c r="X12" s="26">
        <v>2.8150129683666901E-5</v>
      </c>
      <c r="Y12" s="19" t="b">
        <v>1</v>
      </c>
      <c r="Z12" s="19">
        <v>4.5353212060937924</v>
      </c>
      <c r="AA12" s="19">
        <v>4.3331648523014072</v>
      </c>
      <c r="AB12" s="26">
        <v>-4.4573767679511177E-2</v>
      </c>
      <c r="AC12" s="19" t="b">
        <v>1</v>
      </c>
      <c r="AD12" s="19">
        <v>29.386711991335972</v>
      </c>
      <c r="AE12" s="19">
        <v>28.590802223269129</v>
      </c>
      <c r="AF12" s="26">
        <v>-2.7084002058532518E-2</v>
      </c>
      <c r="AG12" s="19" t="b">
        <v>1</v>
      </c>
    </row>
    <row r="13" spans="1:33" x14ac:dyDescent="0.3">
      <c r="A13" s="4" t="s">
        <v>8</v>
      </c>
      <c r="B13" s="4" t="s">
        <v>416</v>
      </c>
      <c r="C13" s="19">
        <v>24</v>
      </c>
      <c r="D13" s="19">
        <v>3</v>
      </c>
      <c r="E13" s="19">
        <v>2</v>
      </c>
      <c r="F13" s="4" t="s">
        <v>251</v>
      </c>
      <c r="G13" s="4" t="s">
        <v>417</v>
      </c>
      <c r="H13" s="19">
        <v>5191</v>
      </c>
      <c r="I13" s="19">
        <v>5236</v>
      </c>
      <c r="J13" s="19">
        <v>0.98000422312893509</v>
      </c>
      <c r="K13" s="19">
        <v>0.66722417987060556</v>
      </c>
      <c r="L13" s="19">
        <v>22.25947380065918</v>
      </c>
      <c r="M13" s="19">
        <v>3.6408888917094369E-3</v>
      </c>
      <c r="N13" s="20">
        <v>255.2790641784668</v>
      </c>
      <c r="O13" s="20">
        <v>252.0702544108957</v>
      </c>
      <c r="P13" s="26">
        <v>-1.2569811699590859E-2</v>
      </c>
      <c r="Q13" s="19" t="b">
        <v>1</v>
      </c>
      <c r="R13" s="20">
        <v>89.876374466547887</v>
      </c>
      <c r="S13" s="20">
        <v>95.216537084170753</v>
      </c>
      <c r="T13" s="26">
        <v>5.9416756064303439E-2</v>
      </c>
      <c r="U13" s="19" t="b">
        <v>1</v>
      </c>
      <c r="V13" s="19">
        <v>21.001100540161129</v>
      </c>
      <c r="W13" s="19">
        <v>21.00621862312893</v>
      </c>
      <c r="X13" s="26">
        <v>2.4370546476902691E-4</v>
      </c>
      <c r="Y13" s="19" t="b">
        <v>1</v>
      </c>
      <c r="Z13" s="19">
        <v>4.6276059548851913</v>
      </c>
      <c r="AA13" s="19">
        <v>4.3611975132039396</v>
      </c>
      <c r="AB13" s="26">
        <v>-5.7569387773825968E-2</v>
      </c>
      <c r="AC13" s="19" t="b">
        <v>1</v>
      </c>
      <c r="AD13" s="19">
        <v>59.725825658009747</v>
      </c>
      <c r="AE13" s="19">
        <v>56.756374259083337</v>
      </c>
      <c r="AF13" s="26">
        <v>-4.9718046861829873E-2</v>
      </c>
      <c r="AG13" s="19" t="b">
        <v>1</v>
      </c>
    </row>
    <row r="14" spans="1:33" x14ac:dyDescent="0.3">
      <c r="A14" s="4" t="s">
        <v>8</v>
      </c>
      <c r="B14" s="4" t="s">
        <v>418</v>
      </c>
      <c r="C14" s="19">
        <v>32</v>
      </c>
      <c r="D14" s="19">
        <v>3</v>
      </c>
      <c r="E14" s="19">
        <v>2</v>
      </c>
      <c r="F14" s="4" t="s">
        <v>252</v>
      </c>
      <c r="G14" s="4" t="s">
        <v>419</v>
      </c>
      <c r="H14" s="19">
        <v>5215</v>
      </c>
      <c r="I14" s="19">
        <v>5256</v>
      </c>
      <c r="J14" s="19">
        <v>0.89721337153591751</v>
      </c>
      <c r="K14" s="19">
        <v>0.63754106677246103</v>
      </c>
      <c r="L14" s="19">
        <v>21.779775619506839</v>
      </c>
      <c r="M14" s="19">
        <v>4.3690666657880683E-3</v>
      </c>
      <c r="N14" s="20">
        <v>339.14065361022949</v>
      </c>
      <c r="O14" s="20">
        <v>334.7690189223469</v>
      </c>
      <c r="P14" s="26">
        <v>-1.2890329252319191E-2</v>
      </c>
      <c r="Q14" s="19" t="b">
        <v>1</v>
      </c>
      <c r="R14" s="20">
        <v>90.157295626623565</v>
      </c>
      <c r="S14" s="20">
        <v>95.591300342315137</v>
      </c>
      <c r="T14" s="26">
        <v>6.0272490184220907E-2</v>
      </c>
      <c r="U14" s="19" t="b">
        <v>1</v>
      </c>
      <c r="V14" s="19">
        <v>20.90001106262207</v>
      </c>
      <c r="W14" s="19">
        <v>20.922699593758139</v>
      </c>
      <c r="X14" s="26">
        <v>1.085575077835509E-3</v>
      </c>
      <c r="Y14" s="19" t="b">
        <v>1</v>
      </c>
      <c r="Z14" s="19">
        <v>4.6914877303617306</v>
      </c>
      <c r="AA14" s="19">
        <v>4.3315144001057941</v>
      </c>
      <c r="AB14" s="26">
        <v>-7.6729035850676988E-2</v>
      </c>
      <c r="AC14" s="19" t="b">
        <v>1</v>
      </c>
      <c r="AD14" s="19">
        <v>89.133698588346931</v>
      </c>
      <c r="AE14" s="19">
        <v>84.444960558573541</v>
      </c>
      <c r="AF14" s="26">
        <v>-5.2603427256258627E-2</v>
      </c>
      <c r="AG14" s="19" t="b">
        <v>1</v>
      </c>
    </row>
    <row r="15" spans="1:33" x14ac:dyDescent="0.3">
      <c r="A15" s="4" t="s">
        <v>420</v>
      </c>
      <c r="B15" s="4" t="s">
        <v>421</v>
      </c>
      <c r="C15" s="19">
        <v>1</v>
      </c>
      <c r="D15" s="19">
        <v>2</v>
      </c>
      <c r="E15" s="19">
        <v>1</v>
      </c>
      <c r="F15" s="4" t="s">
        <v>260</v>
      </c>
      <c r="G15" s="4" t="s">
        <v>422</v>
      </c>
      <c r="H15" s="19">
        <v>571</v>
      </c>
      <c r="I15" s="19">
        <v>587</v>
      </c>
      <c r="J15" s="19">
        <v>1.2212463497233079</v>
      </c>
      <c r="K15" s="19">
        <v>0.83130766070556628</v>
      </c>
      <c r="L15" s="19">
        <v>0.17094612121582031</v>
      </c>
      <c r="M15" s="19">
        <v>0</v>
      </c>
      <c r="N15" s="20">
        <v>69.268226623535156</v>
      </c>
      <c r="O15" s="20">
        <v>68.094794348233734</v>
      </c>
      <c r="P15" s="26">
        <v>-1.694041167935325E-2</v>
      </c>
      <c r="Q15" s="19" t="b">
        <v>1</v>
      </c>
      <c r="R15" s="20">
        <v>13.83629905344009</v>
      </c>
      <c r="S15" s="20">
        <v>14.6958432285033</v>
      </c>
      <c r="T15" s="26">
        <v>6.2122405113056688E-2</v>
      </c>
      <c r="U15" s="19" t="b">
        <v>1</v>
      </c>
      <c r="V15" s="19">
        <v>31.256437301635739</v>
      </c>
      <c r="W15" s="19">
        <v>31.259475683056639</v>
      </c>
      <c r="X15" s="26">
        <v>9.7208181200526204E-5</v>
      </c>
      <c r="Y15" s="19" t="b">
        <v>1</v>
      </c>
      <c r="Z15" s="19">
        <v>1.8688088969180461</v>
      </c>
      <c r="AA15" s="19">
        <v>1.855883660705566</v>
      </c>
      <c r="AB15" s="26">
        <v>-6.9162963820407651E-3</v>
      </c>
      <c r="AC15" s="19" t="b">
        <v>1</v>
      </c>
      <c r="AD15" s="19">
        <v>0.18204032329090861</v>
      </c>
      <c r="AE15" s="19">
        <v>0</v>
      </c>
      <c r="AF15" s="26">
        <v>-1</v>
      </c>
      <c r="AG15" s="19" t="b">
        <v>0</v>
      </c>
    </row>
    <row r="16" spans="1:33" x14ac:dyDescent="0.3">
      <c r="A16" s="4" t="s">
        <v>420</v>
      </c>
      <c r="B16" s="4" t="s">
        <v>423</v>
      </c>
      <c r="C16" s="19">
        <v>1</v>
      </c>
      <c r="D16" s="19">
        <v>2</v>
      </c>
      <c r="E16" s="19">
        <v>1</v>
      </c>
      <c r="F16" s="4" t="s">
        <v>261</v>
      </c>
      <c r="G16" s="4" t="s">
        <v>424</v>
      </c>
      <c r="H16" s="19">
        <v>512</v>
      </c>
      <c r="I16" s="19">
        <v>526</v>
      </c>
      <c r="J16" s="19">
        <v>1.2099214672159839</v>
      </c>
      <c r="K16" s="19">
        <v>0.84913755572509775</v>
      </c>
      <c r="L16" s="19">
        <v>0.16880035400390619</v>
      </c>
      <c r="M16" s="19">
        <v>0</v>
      </c>
      <c r="N16" s="20">
        <v>77.233791351318359</v>
      </c>
      <c r="O16" s="20">
        <v>76.126726534939237</v>
      </c>
      <c r="P16" s="26">
        <v>-1.4333943692383871E-2</v>
      </c>
      <c r="Q16" s="19" t="b">
        <v>1</v>
      </c>
      <c r="R16" s="20">
        <v>12.381958449129071</v>
      </c>
      <c r="S16" s="20">
        <v>13.152996339282881</v>
      </c>
      <c r="T16" s="26">
        <v>6.2271077174228882E-2</v>
      </c>
      <c r="U16" s="19" t="b">
        <v>1</v>
      </c>
      <c r="V16" s="19">
        <v>31.246542930603031</v>
      </c>
      <c r="W16" s="19">
        <v>31.249243067215978</v>
      </c>
      <c r="X16" s="26">
        <v>8.6413931261180354E-5</v>
      </c>
      <c r="Y16" s="19" t="b">
        <v>1</v>
      </c>
      <c r="Z16" s="19">
        <v>3.873439971357584</v>
      </c>
      <c r="AA16" s="19">
        <v>3.875624299778381</v>
      </c>
      <c r="AB16" s="26">
        <v>5.639246863120862E-4</v>
      </c>
      <c r="AC16" s="19" t="b">
        <v>1</v>
      </c>
      <c r="AD16" s="19">
        <v>0.18044328317046171</v>
      </c>
      <c r="AE16" s="19">
        <v>0</v>
      </c>
      <c r="AF16" s="26">
        <v>-1</v>
      </c>
      <c r="AG16" s="19" t="b">
        <v>0</v>
      </c>
    </row>
    <row r="17" spans="1:33" x14ac:dyDescent="0.3">
      <c r="A17" s="4" t="s">
        <v>420</v>
      </c>
      <c r="B17" s="4" t="s">
        <v>425</v>
      </c>
      <c r="C17" s="19">
        <v>1</v>
      </c>
      <c r="D17" s="19">
        <v>2</v>
      </c>
      <c r="E17" s="19">
        <v>1</v>
      </c>
      <c r="F17" s="4" t="s">
        <v>262</v>
      </c>
      <c r="G17" s="4" t="s">
        <v>426</v>
      </c>
      <c r="H17" s="19">
        <v>339</v>
      </c>
      <c r="I17" s="19">
        <v>344</v>
      </c>
      <c r="J17" s="19">
        <v>1.209444630057781</v>
      </c>
      <c r="K17" s="19">
        <v>0.88094736254882777</v>
      </c>
      <c r="L17" s="19">
        <v>0.17237663269042969</v>
      </c>
      <c r="M17" s="19">
        <v>0</v>
      </c>
      <c r="N17" s="20">
        <v>117.2466278076172</v>
      </c>
      <c r="O17" s="20">
        <v>116.221202281098</v>
      </c>
      <c r="P17" s="26">
        <v>-8.7458850262349865E-3</v>
      </c>
      <c r="Q17" s="19" t="b">
        <v>1</v>
      </c>
      <c r="R17" s="20">
        <v>8.1968212901129753</v>
      </c>
      <c r="S17" s="20">
        <v>8.6048210879086362</v>
      </c>
      <c r="T17" s="26">
        <v>4.9775368201303981E-2</v>
      </c>
      <c r="U17" s="19" t="b">
        <v>1</v>
      </c>
      <c r="V17" s="19">
        <v>31.243681907653809</v>
      </c>
      <c r="W17" s="19">
        <v>31.248220096724449</v>
      </c>
      <c r="X17" s="26">
        <v>1.4525141704020681E-4</v>
      </c>
      <c r="Y17" s="19" t="b">
        <v>1</v>
      </c>
      <c r="Z17" s="19">
        <v>14.885733261220929</v>
      </c>
      <c r="AA17" s="19">
        <v>13.905523362548831</v>
      </c>
      <c r="AB17" s="26">
        <v>-6.5848949559351694E-2</v>
      </c>
      <c r="AC17" s="19" t="b">
        <v>1</v>
      </c>
      <c r="AD17" s="19">
        <v>0.18553958881569471</v>
      </c>
      <c r="AE17" s="19">
        <v>0</v>
      </c>
      <c r="AF17" s="26">
        <v>-1</v>
      </c>
      <c r="AG17" s="19" t="b">
        <v>0</v>
      </c>
    </row>
    <row r="18" spans="1:33" x14ac:dyDescent="0.3">
      <c r="A18" s="4" t="s">
        <v>420</v>
      </c>
      <c r="B18" s="4" t="s">
        <v>427</v>
      </c>
      <c r="C18" s="19">
        <v>1</v>
      </c>
      <c r="D18" s="19">
        <v>2</v>
      </c>
      <c r="E18" s="19">
        <v>1</v>
      </c>
      <c r="F18" s="4" t="s">
        <v>263</v>
      </c>
      <c r="G18" s="4" t="s">
        <v>428</v>
      </c>
      <c r="H18" s="19">
        <v>239</v>
      </c>
      <c r="I18" s="19">
        <v>240</v>
      </c>
      <c r="J18" s="19">
        <v>1.2125440715861009</v>
      </c>
      <c r="K18" s="19">
        <v>0.89200998461913539</v>
      </c>
      <c r="L18" s="19">
        <v>0.1749992370605469</v>
      </c>
      <c r="M18" s="19">
        <v>0</v>
      </c>
      <c r="N18" s="20">
        <v>167.32048988342291</v>
      </c>
      <c r="O18" s="20">
        <v>166.26058903036349</v>
      </c>
      <c r="P18" s="26">
        <v>-6.3345550434250678E-3</v>
      </c>
      <c r="Q18" s="19" t="b">
        <v>1</v>
      </c>
      <c r="R18" s="20">
        <v>5.616093750458699</v>
      </c>
      <c r="S18" s="20">
        <v>6.0164933243534611</v>
      </c>
      <c r="T18" s="26">
        <v>7.1295030262281345E-2</v>
      </c>
      <c r="U18" s="19" t="b">
        <v>1</v>
      </c>
      <c r="V18" s="19">
        <v>31.246185302734379</v>
      </c>
      <c r="W18" s="19">
        <v>31.251319538252758</v>
      </c>
      <c r="X18" s="26">
        <v>1.6431559464437039E-4</v>
      </c>
      <c r="Y18" s="19" t="b">
        <v>1</v>
      </c>
      <c r="Z18" s="19">
        <v>27.787125585464061</v>
      </c>
      <c r="AA18" s="19">
        <v>26.41658598461914</v>
      </c>
      <c r="AB18" s="26">
        <v>-4.9322827459414333E-2</v>
      </c>
      <c r="AC18" s="19" t="b">
        <v>1</v>
      </c>
      <c r="AD18" s="19">
        <v>0.18697214826347941</v>
      </c>
      <c r="AE18" s="19">
        <v>0</v>
      </c>
      <c r="AF18" s="26">
        <v>-1</v>
      </c>
      <c r="AG18" s="19" t="b">
        <v>0</v>
      </c>
    </row>
    <row r="19" spans="1:33" x14ac:dyDescent="0.3">
      <c r="A19" s="4" t="s">
        <v>420</v>
      </c>
      <c r="B19" s="4" t="s">
        <v>429</v>
      </c>
      <c r="C19" s="19">
        <v>1</v>
      </c>
      <c r="D19" s="19">
        <v>3</v>
      </c>
      <c r="E19" s="19">
        <v>1</v>
      </c>
      <c r="F19" s="4" t="s">
        <v>264</v>
      </c>
      <c r="G19" s="4" t="s">
        <v>430</v>
      </c>
      <c r="H19" s="19">
        <v>545</v>
      </c>
      <c r="I19" s="19">
        <v>561</v>
      </c>
      <c r="J19" s="19">
        <v>1.215263756057402</v>
      </c>
      <c r="K19" s="19">
        <v>0.8565800300903319</v>
      </c>
      <c r="L19" s="19">
        <v>0.1692771911621094</v>
      </c>
      <c r="M19" s="19">
        <v>0</v>
      </c>
      <c r="N19" s="20">
        <v>72.558879852294922</v>
      </c>
      <c r="O19" s="20">
        <v>71.265442588531513</v>
      </c>
      <c r="P19" s="26">
        <v>-1.7826036818600351E-2</v>
      </c>
      <c r="Q19" s="19" t="b">
        <v>1</v>
      </c>
      <c r="R19" s="20">
        <v>12.807065394392311</v>
      </c>
      <c r="S19" s="20">
        <v>14.036300131427501</v>
      </c>
      <c r="T19" s="26">
        <v>9.5980983869530648E-2</v>
      </c>
      <c r="U19" s="19" t="b">
        <v>1</v>
      </c>
      <c r="V19" s="19">
        <v>21.238088607788089</v>
      </c>
      <c r="W19" s="19">
        <v>21.241478156057401</v>
      </c>
      <c r="X19" s="26">
        <v>1.5959761407491921E-4</v>
      </c>
      <c r="Y19" s="19" t="b">
        <v>1</v>
      </c>
      <c r="Z19" s="19">
        <v>2.672230869258216</v>
      </c>
      <c r="AA19" s="19">
        <v>1.883886696756998</v>
      </c>
      <c r="AB19" s="26">
        <v>-0.29501349661455473</v>
      </c>
      <c r="AC19" s="19" t="b">
        <v>0</v>
      </c>
      <c r="AD19" s="19">
        <v>0.1841985486698442</v>
      </c>
      <c r="AE19" s="19">
        <v>0</v>
      </c>
      <c r="AF19" s="26">
        <v>-1</v>
      </c>
      <c r="AG19" s="19" t="b">
        <v>0</v>
      </c>
    </row>
    <row r="20" spans="1:33" x14ac:dyDescent="0.3">
      <c r="A20" s="4" t="s">
        <v>420</v>
      </c>
      <c r="B20" s="4" t="s">
        <v>431</v>
      </c>
      <c r="C20" s="19">
        <v>1</v>
      </c>
      <c r="D20" s="19">
        <v>3</v>
      </c>
      <c r="E20" s="19">
        <v>1</v>
      </c>
      <c r="F20" s="4" t="s">
        <v>265</v>
      </c>
      <c r="G20" s="4" t="s">
        <v>432</v>
      </c>
      <c r="H20" s="19">
        <v>471</v>
      </c>
      <c r="I20" s="19">
        <v>480</v>
      </c>
      <c r="J20" s="19">
        <v>1.215979011794706</v>
      </c>
      <c r="K20" s="19">
        <v>0.8735754600830079</v>
      </c>
      <c r="L20" s="19">
        <v>0.17094612121582031</v>
      </c>
      <c r="M20" s="19">
        <v>0</v>
      </c>
      <c r="N20" s="20">
        <v>84.547042846679688</v>
      </c>
      <c r="O20" s="20">
        <v>83.334477809049901</v>
      </c>
      <c r="P20" s="26">
        <v>-1.4341897679717681E-2</v>
      </c>
      <c r="Q20" s="19" t="b">
        <v>1</v>
      </c>
      <c r="R20" s="20">
        <v>11.404675966531819</v>
      </c>
      <c r="S20" s="20">
        <v>12.02487129530221</v>
      </c>
      <c r="T20" s="26">
        <v>5.4380793508769183E-2</v>
      </c>
      <c r="U20" s="19" t="b">
        <v>1</v>
      </c>
      <c r="V20" s="19">
        <v>21.239995956420898</v>
      </c>
      <c r="W20" s="19">
        <v>21.242193411794709</v>
      </c>
      <c r="X20" s="26">
        <v>1.034583706284837E-4</v>
      </c>
      <c r="Y20" s="19" t="b">
        <v>1</v>
      </c>
      <c r="Z20" s="19">
        <v>5.0072772909543737</v>
      </c>
      <c r="AA20" s="19">
        <v>4.5675487934163419</v>
      </c>
      <c r="AB20" s="26">
        <v>-8.7817884248671332E-2</v>
      </c>
      <c r="AC20" s="19" t="b">
        <v>1</v>
      </c>
      <c r="AD20" s="19">
        <v>0.18758868293735209</v>
      </c>
      <c r="AE20" s="19">
        <v>0</v>
      </c>
      <c r="AF20" s="26">
        <v>-1</v>
      </c>
      <c r="AG20" s="19" t="b">
        <v>0</v>
      </c>
    </row>
    <row r="21" spans="1:33" x14ac:dyDescent="0.3">
      <c r="A21" s="4" t="s">
        <v>420</v>
      </c>
      <c r="B21" s="4" t="s">
        <v>433</v>
      </c>
      <c r="C21" s="19">
        <v>1</v>
      </c>
      <c r="D21" s="19">
        <v>3</v>
      </c>
      <c r="E21" s="19">
        <v>1</v>
      </c>
      <c r="F21" s="4" t="s">
        <v>266</v>
      </c>
      <c r="G21" s="4" t="s">
        <v>434</v>
      </c>
      <c r="H21" s="19">
        <v>277</v>
      </c>
      <c r="I21" s="19">
        <v>279</v>
      </c>
      <c r="J21" s="19">
        <v>1.221462639114042</v>
      </c>
      <c r="K21" s="19">
        <v>0.87445045626831019</v>
      </c>
      <c r="L21" s="19">
        <v>0.1769065856933594</v>
      </c>
      <c r="M21" s="19">
        <v>0</v>
      </c>
      <c r="N21" s="20">
        <v>144.6840763092041</v>
      </c>
      <c r="O21" s="20">
        <v>143.35552094241419</v>
      </c>
      <c r="P21" s="26">
        <v>-9.1824573973892723E-3</v>
      </c>
      <c r="Q21" s="19" t="b">
        <v>1</v>
      </c>
      <c r="R21" s="20">
        <v>6.6925287887004439</v>
      </c>
      <c r="S21" s="20">
        <v>6.9977552077266942</v>
      </c>
      <c r="T21" s="26">
        <v>4.5607038634124318E-2</v>
      </c>
      <c r="U21" s="19" t="b">
        <v>1</v>
      </c>
      <c r="V21" s="19">
        <v>21.245718002319339</v>
      </c>
      <c r="W21" s="19">
        <v>21.247677039114041</v>
      </c>
      <c r="X21" s="26">
        <v>9.2208547364295432E-5</v>
      </c>
      <c r="Y21" s="19" t="b">
        <v>1</v>
      </c>
      <c r="Z21" s="19">
        <v>18.694069474683879</v>
      </c>
      <c r="AA21" s="19">
        <v>17.901757122934971</v>
      </c>
      <c r="AB21" s="26">
        <v>-4.2383085866984888E-2</v>
      </c>
      <c r="AC21" s="19" t="b">
        <v>1</v>
      </c>
      <c r="AD21" s="19">
        <v>0.19443538421888551</v>
      </c>
      <c r="AE21" s="19">
        <v>0</v>
      </c>
      <c r="AF21" s="26">
        <v>-1</v>
      </c>
      <c r="AG21" s="19" t="b">
        <v>0</v>
      </c>
    </row>
    <row r="22" spans="1:33" x14ac:dyDescent="0.3">
      <c r="A22" s="4" t="s">
        <v>420</v>
      </c>
      <c r="B22" s="4" t="s">
        <v>435</v>
      </c>
      <c r="C22" s="19">
        <v>1</v>
      </c>
      <c r="D22" s="19">
        <v>3</v>
      </c>
      <c r="E22" s="19">
        <v>1</v>
      </c>
      <c r="F22" s="4" t="s">
        <v>267</v>
      </c>
      <c r="G22" s="4" t="s">
        <v>436</v>
      </c>
      <c r="H22" s="19">
        <v>182</v>
      </c>
      <c r="I22" s="19">
        <v>183</v>
      </c>
      <c r="J22" s="19">
        <v>1.223012359878203</v>
      </c>
      <c r="K22" s="19">
        <v>0.90601707614135218</v>
      </c>
      <c r="L22" s="19">
        <v>0.1826286315917969</v>
      </c>
      <c r="M22" s="19">
        <v>0</v>
      </c>
      <c r="N22" s="20">
        <v>219.73299980163571</v>
      </c>
      <c r="O22" s="20">
        <v>218.4842520508781</v>
      </c>
      <c r="P22" s="26">
        <v>-5.6830232686259302E-3</v>
      </c>
      <c r="Q22" s="19" t="b">
        <v>1</v>
      </c>
      <c r="R22" s="20">
        <v>4.4129963122886791</v>
      </c>
      <c r="S22" s="20">
        <v>4.5992057115179952</v>
      </c>
      <c r="T22" s="26">
        <v>4.2195684304287058E-2</v>
      </c>
      <c r="U22" s="19" t="b">
        <v>1</v>
      </c>
      <c r="V22" s="19">
        <v>21.24834060668945</v>
      </c>
      <c r="W22" s="19">
        <v>21.248498582100421</v>
      </c>
      <c r="X22" s="26">
        <v>7.4347175572644591E-6</v>
      </c>
      <c r="Y22" s="19" t="b">
        <v>1</v>
      </c>
      <c r="Z22" s="19">
        <v>35.718780734163502</v>
      </c>
      <c r="AA22" s="19">
        <v>34.599990409474692</v>
      </c>
      <c r="AB22" s="26">
        <v>-3.1322186863415001E-2</v>
      </c>
      <c r="AC22" s="19" t="b">
        <v>1</v>
      </c>
      <c r="AD22" s="19">
        <v>0.2012104341835329</v>
      </c>
      <c r="AE22" s="19">
        <v>0</v>
      </c>
      <c r="AF22" s="26">
        <v>-1</v>
      </c>
      <c r="AG22" s="19" t="b">
        <v>0</v>
      </c>
    </row>
    <row r="23" spans="1:33" x14ac:dyDescent="0.3">
      <c r="A23" s="4" t="s">
        <v>420</v>
      </c>
      <c r="B23" s="4" t="s">
        <v>437</v>
      </c>
      <c r="C23" s="19">
        <v>1</v>
      </c>
      <c r="D23" s="19">
        <v>4</v>
      </c>
      <c r="E23" s="19">
        <v>1</v>
      </c>
      <c r="F23" s="4" t="s">
        <v>268</v>
      </c>
      <c r="G23" s="4" t="s">
        <v>438</v>
      </c>
      <c r="H23" s="19">
        <v>541</v>
      </c>
      <c r="I23" s="19">
        <v>539</v>
      </c>
      <c r="J23" s="19">
        <v>1.183900648311361</v>
      </c>
      <c r="K23" s="19">
        <v>0.84740091479492174</v>
      </c>
      <c r="L23" s="19">
        <v>0.16903877258300781</v>
      </c>
      <c r="M23" s="19">
        <v>0</v>
      </c>
      <c r="N23" s="20">
        <v>75.415849685668945</v>
      </c>
      <c r="O23" s="20">
        <v>74.198706367218037</v>
      </c>
      <c r="P23" s="26">
        <v>-1.6139091762857889E-2</v>
      </c>
      <c r="Q23" s="19" t="b">
        <v>1</v>
      </c>
      <c r="R23" s="20">
        <v>12.717201867115071</v>
      </c>
      <c r="S23" s="20">
        <v>13.48722582030161</v>
      </c>
      <c r="T23" s="26">
        <v>6.0549793990273257E-2</v>
      </c>
      <c r="U23" s="19" t="b">
        <v>1</v>
      </c>
      <c r="V23" s="19">
        <v>16.203045845031738</v>
      </c>
      <c r="W23" s="19">
        <v>16.203561448311358</v>
      </c>
      <c r="X23" s="26">
        <v>3.1821380038752237E-5</v>
      </c>
      <c r="Y23" s="19" t="b">
        <v>1</v>
      </c>
      <c r="Z23" s="19">
        <v>1.885202257117591</v>
      </c>
      <c r="AA23" s="19">
        <v>1.876078616883089</v>
      </c>
      <c r="AB23" s="26">
        <v>-4.8396081640870517E-3</v>
      </c>
      <c r="AC23" s="19" t="b">
        <v>1</v>
      </c>
      <c r="AD23" s="19">
        <v>0.17894338988552691</v>
      </c>
      <c r="AE23" s="19">
        <v>0</v>
      </c>
      <c r="AF23" s="26">
        <v>-1</v>
      </c>
      <c r="AG23" s="19" t="b">
        <v>0</v>
      </c>
    </row>
    <row r="24" spans="1:33" x14ac:dyDescent="0.3">
      <c r="A24" s="4" t="s">
        <v>420</v>
      </c>
      <c r="B24" s="4" t="s">
        <v>439</v>
      </c>
      <c r="C24" s="19">
        <v>1</v>
      </c>
      <c r="D24" s="19">
        <v>4</v>
      </c>
      <c r="E24" s="19">
        <v>1</v>
      </c>
      <c r="F24" s="4" t="s">
        <v>269</v>
      </c>
      <c r="G24" s="4" t="s">
        <v>440</v>
      </c>
      <c r="H24" s="19">
        <v>439</v>
      </c>
      <c r="I24" s="19">
        <v>444</v>
      </c>
      <c r="J24" s="19">
        <v>1.1720989286458341</v>
      </c>
      <c r="K24" s="19">
        <v>0.82684541857910165</v>
      </c>
      <c r="L24" s="19">
        <v>0.16999244689941409</v>
      </c>
      <c r="M24" s="19">
        <v>0</v>
      </c>
      <c r="N24" s="20">
        <v>90.736865997314453</v>
      </c>
      <c r="O24" s="20">
        <v>90.046537474147925</v>
      </c>
      <c r="P24" s="26">
        <v>-7.6080269643317806E-3</v>
      </c>
      <c r="Q24" s="19" t="b">
        <v>1</v>
      </c>
      <c r="R24" s="20">
        <v>10.31718934688838</v>
      </c>
      <c r="S24" s="20">
        <v>11.11841463612218</v>
      </c>
      <c r="T24" s="26">
        <v>7.7659259929686253E-2</v>
      </c>
      <c r="U24" s="19" t="b">
        <v>1</v>
      </c>
      <c r="V24" s="19">
        <v>16.191005706787109</v>
      </c>
      <c r="W24" s="19">
        <v>16.191213595312501</v>
      </c>
      <c r="X24" s="26">
        <v>1.283975369759818E-5</v>
      </c>
      <c r="Y24" s="19" t="b">
        <v>1</v>
      </c>
      <c r="Z24" s="19">
        <v>4.8824279889430438</v>
      </c>
      <c r="AA24" s="19">
        <v>4.8566494321078499</v>
      </c>
      <c r="AB24" s="26">
        <v>-5.2798642178795126E-3</v>
      </c>
      <c r="AC24" s="19" t="b">
        <v>1</v>
      </c>
      <c r="AD24" s="19">
        <v>0.18405181128777781</v>
      </c>
      <c r="AE24" s="19">
        <v>0</v>
      </c>
      <c r="AF24" s="26">
        <v>-1</v>
      </c>
      <c r="AG24" s="19" t="b">
        <v>0</v>
      </c>
    </row>
    <row r="25" spans="1:33" x14ac:dyDescent="0.3">
      <c r="A25" s="4" t="s">
        <v>420</v>
      </c>
      <c r="B25" s="4" t="s">
        <v>441</v>
      </c>
      <c r="C25" s="19">
        <v>1</v>
      </c>
      <c r="D25" s="19">
        <v>4</v>
      </c>
      <c r="E25" s="19">
        <v>1</v>
      </c>
      <c r="F25" s="4" t="s">
        <v>270</v>
      </c>
      <c r="G25" s="4" t="s">
        <v>442</v>
      </c>
      <c r="H25" s="19">
        <v>235</v>
      </c>
      <c r="I25" s="19">
        <v>236</v>
      </c>
      <c r="J25" s="19">
        <v>1.019749456599935</v>
      </c>
      <c r="K25" s="19">
        <v>0.85972810900878871</v>
      </c>
      <c r="L25" s="19">
        <v>0.1807212829589844</v>
      </c>
      <c r="M25" s="19">
        <v>0</v>
      </c>
      <c r="N25" s="20">
        <v>170.83573341369629</v>
      </c>
      <c r="O25" s="20">
        <v>169.60373757144171</v>
      </c>
      <c r="P25" s="26">
        <v>-7.211581661731325E-3</v>
      </c>
      <c r="Q25" s="19" t="b">
        <v>1</v>
      </c>
      <c r="R25" s="20">
        <v>5.5106450264706641</v>
      </c>
      <c r="S25" s="20">
        <v>5.908169024447214</v>
      </c>
      <c r="T25" s="26">
        <v>7.2137471397091105E-2</v>
      </c>
      <c r="U25" s="19" t="b">
        <v>1</v>
      </c>
      <c r="V25" s="19">
        <v>16.171693801879879</v>
      </c>
      <c r="W25" s="19">
        <v>16.039410256599929</v>
      </c>
      <c r="X25" s="26">
        <v>-8.1799437276367983E-3</v>
      </c>
      <c r="Y25" s="19" t="b">
        <v>1</v>
      </c>
      <c r="Z25" s="19">
        <v>20.592978660096509</v>
      </c>
      <c r="AA25" s="19">
        <v>19.90114765890263</v>
      </c>
      <c r="AB25" s="26">
        <v>-3.3595479926100229E-2</v>
      </c>
      <c r="AC25" s="19" t="b">
        <v>1</v>
      </c>
      <c r="AD25" s="19">
        <v>0.20041237486169691</v>
      </c>
      <c r="AE25" s="19">
        <v>0</v>
      </c>
      <c r="AF25" s="26">
        <v>-1</v>
      </c>
      <c r="AG25" s="19" t="b">
        <v>0</v>
      </c>
    </row>
    <row r="26" spans="1:33" x14ac:dyDescent="0.3">
      <c r="A26" s="4" t="s">
        <v>420</v>
      </c>
      <c r="B26" s="4" t="s">
        <v>443</v>
      </c>
      <c r="C26" s="19">
        <v>1</v>
      </c>
      <c r="D26" s="19">
        <v>4</v>
      </c>
      <c r="E26" s="19">
        <v>1</v>
      </c>
      <c r="F26" s="4" t="s">
        <v>271</v>
      </c>
      <c r="G26" s="4" t="s">
        <v>444</v>
      </c>
      <c r="H26" s="19">
        <v>149</v>
      </c>
      <c r="I26" s="19">
        <v>149</v>
      </c>
      <c r="J26" s="19">
        <v>0.83431940670369498</v>
      </c>
      <c r="K26" s="19">
        <v>0.8912947288818307</v>
      </c>
      <c r="L26" s="19">
        <v>0.18596649169921881</v>
      </c>
      <c r="M26" s="19">
        <v>0</v>
      </c>
      <c r="N26" s="20">
        <v>270.80488204956049</v>
      </c>
      <c r="O26" s="20">
        <v>269.01985047122071</v>
      </c>
      <c r="P26" s="26">
        <v>-6.5915782789069434E-3</v>
      </c>
      <c r="Q26" s="19" t="b">
        <v>1</v>
      </c>
      <c r="R26" s="20">
        <v>3.5987582291515769</v>
      </c>
      <c r="S26" s="20">
        <v>3.7318923410656648</v>
      </c>
      <c r="T26" s="26">
        <v>3.6994458487275408E-2</v>
      </c>
      <c r="U26" s="19" t="b">
        <v>1</v>
      </c>
      <c r="V26" s="19">
        <v>16.12091064453125</v>
      </c>
      <c r="W26" s="19">
        <v>15.853980206703691</v>
      </c>
      <c r="X26" s="26">
        <v>-1.6558024773749951E-2</v>
      </c>
      <c r="Y26" s="19" t="b">
        <v>1</v>
      </c>
      <c r="Z26" s="19">
        <v>39.748580218567611</v>
      </c>
      <c r="AA26" s="19">
        <v>38.690631308983022</v>
      </c>
      <c r="AB26" s="26">
        <v>-2.661601757263251E-2</v>
      </c>
      <c r="AC26" s="19" t="b">
        <v>1</v>
      </c>
      <c r="AD26" s="19">
        <v>0.20072432030714779</v>
      </c>
      <c r="AE26" s="19">
        <v>0</v>
      </c>
      <c r="AF26" s="26">
        <v>-1</v>
      </c>
      <c r="AG26" s="19" t="b">
        <v>0</v>
      </c>
    </row>
    <row r="27" spans="1:33" x14ac:dyDescent="0.3">
      <c r="A27" s="4" t="s">
        <v>420</v>
      </c>
      <c r="B27" s="4" t="s">
        <v>445</v>
      </c>
      <c r="C27" s="19">
        <v>1</v>
      </c>
      <c r="D27" s="19">
        <v>6</v>
      </c>
      <c r="E27" s="19">
        <v>1</v>
      </c>
      <c r="F27" s="4" t="s">
        <v>272</v>
      </c>
      <c r="G27" s="4" t="s">
        <v>446</v>
      </c>
      <c r="H27" s="19">
        <v>511</v>
      </c>
      <c r="I27" s="19">
        <v>540</v>
      </c>
      <c r="J27" s="19">
        <v>0.2219898263319236</v>
      </c>
      <c r="K27" s="19">
        <v>0.77229906237792956</v>
      </c>
      <c r="L27" s="19">
        <v>0.16617774963378909</v>
      </c>
      <c r="M27" s="19">
        <v>0</v>
      </c>
      <c r="N27" s="20">
        <v>76.776742935180664</v>
      </c>
      <c r="O27" s="20">
        <v>74.029667594635029</v>
      </c>
      <c r="P27" s="26">
        <v>-3.5780045304407787E-2</v>
      </c>
      <c r="Q27" s="19" t="b">
        <v>1</v>
      </c>
      <c r="R27" s="20">
        <v>12.372237705827869</v>
      </c>
      <c r="S27" s="20">
        <v>13.521858903594151</v>
      </c>
      <c r="T27" s="26">
        <v>9.2919423721123398E-2</v>
      </c>
      <c r="U27" s="19" t="b">
        <v>1</v>
      </c>
      <c r="V27" s="19">
        <v>10.235786437988279</v>
      </c>
      <c r="W27" s="19">
        <v>10.235097026331919</v>
      </c>
      <c r="X27" s="26">
        <v>-6.7353071552924044E-5</v>
      </c>
      <c r="Y27" s="19" t="b">
        <v>1</v>
      </c>
      <c r="Z27" s="19">
        <v>1.8248502779271609</v>
      </c>
      <c r="AA27" s="19">
        <v>1.802338926449601</v>
      </c>
      <c r="AB27" s="26">
        <v>-1.23359991500949E-2</v>
      </c>
      <c r="AC27" s="19" t="b">
        <v>1</v>
      </c>
      <c r="AD27" s="19">
        <v>0.17819947913079881</v>
      </c>
      <c r="AE27" s="19">
        <v>0</v>
      </c>
      <c r="AF27" s="26">
        <v>-1</v>
      </c>
      <c r="AG27" s="19" t="b">
        <v>0</v>
      </c>
    </row>
    <row r="28" spans="1:33" x14ac:dyDescent="0.3">
      <c r="A28" s="4" t="s">
        <v>420</v>
      </c>
      <c r="B28" s="4" t="s">
        <v>447</v>
      </c>
      <c r="C28" s="19">
        <v>1</v>
      </c>
      <c r="D28" s="19">
        <v>6</v>
      </c>
      <c r="E28" s="19">
        <v>1</v>
      </c>
      <c r="F28" s="4" t="s">
        <v>273</v>
      </c>
      <c r="G28" s="4" t="s">
        <v>448</v>
      </c>
      <c r="H28" s="19">
        <v>393</v>
      </c>
      <c r="I28" s="19">
        <v>407</v>
      </c>
      <c r="J28" s="19">
        <v>0.22586412824232399</v>
      </c>
      <c r="K28" s="19">
        <v>0.82291151202392587</v>
      </c>
      <c r="L28" s="19">
        <v>0.17046928405761719</v>
      </c>
      <c r="M28" s="19">
        <v>0</v>
      </c>
      <c r="N28" s="20">
        <v>101.2182235717773</v>
      </c>
      <c r="O28" s="20">
        <v>98.407200553616292</v>
      </c>
      <c r="P28" s="26">
        <v>-2.7771906273060191E-2</v>
      </c>
      <c r="Q28" s="19" t="b">
        <v>1</v>
      </c>
      <c r="R28" s="20">
        <v>9.5239831101928178</v>
      </c>
      <c r="S28" s="20">
        <v>10.18223349908283</v>
      </c>
      <c r="T28" s="26">
        <v>6.9115031103482036E-2</v>
      </c>
      <c r="U28" s="19" t="b">
        <v>1</v>
      </c>
      <c r="V28" s="19">
        <v>10.23745536804199</v>
      </c>
      <c r="W28" s="19">
        <v>10.23897132824232</v>
      </c>
      <c r="X28" s="26">
        <v>1.4807978602412409E-4</v>
      </c>
      <c r="Y28" s="19" t="b">
        <v>1</v>
      </c>
      <c r="Z28" s="19">
        <v>5.2217023894032604</v>
      </c>
      <c r="AA28" s="19">
        <v>5.1865568595823994</v>
      </c>
      <c r="AB28" s="26">
        <v>-6.7306650590014568E-3</v>
      </c>
      <c r="AC28" s="19" t="b">
        <v>1</v>
      </c>
      <c r="AD28" s="19">
        <v>0.18583791777333381</v>
      </c>
      <c r="AE28" s="19">
        <v>0</v>
      </c>
      <c r="AF28" s="26">
        <v>-1</v>
      </c>
      <c r="AG28" s="19" t="b">
        <v>0</v>
      </c>
    </row>
    <row r="29" spans="1:33" x14ac:dyDescent="0.3">
      <c r="A29" s="4" t="s">
        <v>420</v>
      </c>
      <c r="B29" s="4" t="s">
        <v>449</v>
      </c>
      <c r="C29" s="19">
        <v>1</v>
      </c>
      <c r="D29" s="19">
        <v>6</v>
      </c>
      <c r="E29" s="19">
        <v>1</v>
      </c>
      <c r="F29" s="4" t="s">
        <v>274</v>
      </c>
      <c r="G29" s="4" t="s">
        <v>450</v>
      </c>
      <c r="H29" s="19">
        <v>187</v>
      </c>
      <c r="I29" s="19">
        <v>183</v>
      </c>
      <c r="J29" s="19">
        <v>0.23116894162733381</v>
      </c>
      <c r="K29" s="19">
        <v>0.83540941394042934</v>
      </c>
      <c r="L29" s="19">
        <v>0.18215179443359381</v>
      </c>
      <c r="M29" s="19">
        <v>0</v>
      </c>
      <c r="N29" s="20">
        <v>221.40264511108401</v>
      </c>
      <c r="O29" s="20">
        <v>218.52433021402359</v>
      </c>
      <c r="P29" s="26">
        <v>-1.300036363890879E-2</v>
      </c>
      <c r="Q29" s="19" t="b">
        <v>1</v>
      </c>
      <c r="R29" s="20">
        <v>4.384683462252748</v>
      </c>
      <c r="S29" s="20">
        <v>4.598256229852197</v>
      </c>
      <c r="T29" s="26">
        <v>4.8708822298821147E-2</v>
      </c>
      <c r="U29" s="19" t="b">
        <v>1</v>
      </c>
      <c r="V29" s="19">
        <v>10.24222373962402</v>
      </c>
      <c r="W29" s="19">
        <v>10.243912052738439</v>
      </c>
      <c r="X29" s="26">
        <v>1.6483853090316959E-4</v>
      </c>
      <c r="Y29" s="19" t="b">
        <v>1</v>
      </c>
      <c r="Z29" s="19">
        <v>22.453988813970081</v>
      </c>
      <c r="AA29" s="19">
        <v>21.869108897929451</v>
      </c>
      <c r="AB29" s="26">
        <v>-2.6047929429658671E-2</v>
      </c>
      <c r="AC29" s="19" t="b">
        <v>1</v>
      </c>
      <c r="AD29" s="19">
        <v>0.2070424381863453</v>
      </c>
      <c r="AE29" s="19">
        <v>0</v>
      </c>
      <c r="AF29" s="26">
        <v>-1</v>
      </c>
      <c r="AG29" s="19" t="b">
        <v>0</v>
      </c>
    </row>
    <row r="30" spans="1:33" x14ac:dyDescent="0.3">
      <c r="A30" s="4" t="s">
        <v>420</v>
      </c>
      <c r="B30" s="4" t="s">
        <v>451</v>
      </c>
      <c r="C30" s="19">
        <v>1</v>
      </c>
      <c r="D30" s="19">
        <v>6</v>
      </c>
      <c r="E30" s="19">
        <v>1</v>
      </c>
      <c r="F30" s="4" t="s">
        <v>275</v>
      </c>
      <c r="G30" s="4" t="s">
        <v>452</v>
      </c>
      <c r="H30" s="19">
        <v>108</v>
      </c>
      <c r="I30" s="19">
        <v>109</v>
      </c>
      <c r="J30" s="19">
        <v>0.2304536858900291</v>
      </c>
      <c r="K30" s="19">
        <v>0.87353254473876429</v>
      </c>
      <c r="L30" s="19">
        <v>0.1864433288574219</v>
      </c>
      <c r="M30" s="19">
        <v>0</v>
      </c>
      <c r="N30" s="20">
        <v>371.47855758666992</v>
      </c>
      <c r="O30" s="20">
        <v>368.7890851285083</v>
      </c>
      <c r="P30" s="26">
        <v>-7.2399130534852871E-3</v>
      </c>
      <c r="Q30" s="19" t="b">
        <v>1</v>
      </c>
      <c r="R30" s="20">
        <v>2.5351176025029938</v>
      </c>
      <c r="S30" s="20">
        <v>2.7255367929760572</v>
      </c>
      <c r="T30" s="26">
        <v>7.5112566882521228E-2</v>
      </c>
      <c r="U30" s="19" t="b">
        <v>1</v>
      </c>
      <c r="V30" s="19">
        <v>10.24246215820312</v>
      </c>
      <c r="W30" s="19">
        <v>10.24356088589003</v>
      </c>
      <c r="X30" s="26">
        <v>1.072718326836561E-4</v>
      </c>
      <c r="Y30" s="19" t="b">
        <v>1</v>
      </c>
      <c r="Z30" s="19">
        <v>46.625837476397223</v>
      </c>
      <c r="AA30" s="19">
        <v>42.762039818584917</v>
      </c>
      <c r="AB30" s="26">
        <v>-8.2868166384533412E-2</v>
      </c>
      <c r="AC30" s="19" t="b">
        <v>1</v>
      </c>
      <c r="AD30" s="19">
        <v>0.20351807890572171</v>
      </c>
      <c r="AE30" s="19">
        <v>0</v>
      </c>
      <c r="AF30" s="26">
        <v>-1</v>
      </c>
      <c r="AG30" s="19" t="b">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U52"/>
  <sheetViews>
    <sheetView workbookViewId="0">
      <pane ySplit="4" topLeftCell="A5" activePane="bottomLeft" state="frozen"/>
      <selection pane="bottomLeft"/>
    </sheetView>
  </sheetViews>
  <sheetFormatPr defaultRowHeight="14.4" x14ac:dyDescent="0.3"/>
  <cols>
    <col min="1" max="3" width="24" customWidth="1"/>
    <col min="4" max="5" width="11" customWidth="1"/>
    <col min="6" max="7" width="10" customWidth="1"/>
    <col min="8" max="8" width="11" customWidth="1"/>
    <col min="9" max="9" width="15" customWidth="1"/>
    <col min="10" max="10" width="24" customWidth="1"/>
    <col min="11" max="11" width="15" customWidth="1"/>
    <col min="12" max="12" width="12" customWidth="1"/>
    <col min="13" max="13" width="15" customWidth="1"/>
    <col min="14" max="14" width="23" customWidth="1"/>
    <col min="15" max="15" width="21" customWidth="1"/>
    <col min="16" max="17" width="20" customWidth="1"/>
    <col min="18" max="20" width="24" customWidth="1"/>
    <col min="21" max="21" width="23" customWidth="1"/>
    <col min="22" max="24" width="21" customWidth="1"/>
    <col min="25" max="25" width="23" customWidth="1"/>
    <col min="26" max="26" width="13" customWidth="1"/>
    <col min="27" max="27" width="17" customWidth="1"/>
    <col min="28" max="28" width="15" customWidth="1"/>
    <col min="29" max="29" width="17" customWidth="1"/>
    <col min="30" max="30" width="23" customWidth="1"/>
    <col min="31" max="31" width="24" customWidth="1"/>
    <col min="32" max="32" width="21" customWidth="1"/>
    <col min="33" max="33" width="10" customWidth="1"/>
    <col min="34" max="34" width="15" customWidth="1"/>
    <col min="35" max="35" width="12" customWidth="1"/>
    <col min="36" max="36" width="10" customWidth="1"/>
    <col min="37" max="37" width="14" customWidth="1"/>
    <col min="38" max="38" width="16" customWidth="1"/>
    <col min="39" max="39" width="12" customWidth="1"/>
    <col min="40" max="40" width="10" customWidth="1"/>
    <col min="41" max="41" width="14" customWidth="1"/>
    <col min="42" max="42" width="20" customWidth="1"/>
    <col min="43" max="43" width="23" customWidth="1"/>
    <col min="44" max="44" width="18" customWidth="1"/>
    <col min="45" max="48" width="20" customWidth="1"/>
    <col min="49" max="49" width="14" customWidth="1"/>
    <col min="50" max="50" width="21" customWidth="1"/>
    <col min="51" max="51" width="18" customWidth="1"/>
    <col min="52" max="52" width="12" customWidth="1"/>
    <col min="53" max="53" width="20" customWidth="1"/>
    <col min="54" max="54" width="21" customWidth="1"/>
    <col min="55" max="55" width="24" customWidth="1"/>
    <col min="56" max="56" width="14" customWidth="1"/>
    <col min="57" max="57" width="21" customWidth="1"/>
    <col min="58" max="60" width="24" customWidth="1"/>
    <col min="61" max="61" width="16" customWidth="1"/>
    <col min="62" max="62" width="10" customWidth="1"/>
    <col min="63" max="63" width="23" customWidth="1"/>
    <col min="64" max="64" width="24" customWidth="1"/>
    <col min="65" max="65" width="23" customWidth="1"/>
    <col min="66" max="66" width="13" customWidth="1"/>
    <col min="67" max="67" width="23" customWidth="1"/>
    <col min="68" max="68" width="24" customWidth="1"/>
    <col min="69" max="69" width="23" customWidth="1"/>
    <col min="70" max="70" width="13" customWidth="1"/>
    <col min="71" max="71" width="23" customWidth="1"/>
    <col min="72" max="72" width="24" customWidth="1"/>
    <col min="73" max="73" width="23" customWidth="1"/>
    <col min="74" max="74" width="13" customWidth="1"/>
    <col min="75" max="75" width="23" customWidth="1"/>
    <col min="76" max="76" width="24" customWidth="1"/>
    <col min="77" max="77" width="23" customWidth="1"/>
    <col min="78" max="78" width="13" customWidth="1"/>
    <col min="79" max="79" width="21" customWidth="1"/>
    <col min="80" max="80" width="22" customWidth="1"/>
    <col min="81" max="81" width="15" customWidth="1"/>
    <col min="82" max="82" width="16" customWidth="1"/>
    <col min="83" max="83" width="23" customWidth="1"/>
    <col min="84" max="84" width="24" customWidth="1"/>
    <col min="85" max="85" width="23" customWidth="1"/>
    <col min="86" max="86" width="13" customWidth="1"/>
    <col min="87" max="87" width="23" customWidth="1"/>
    <col min="88" max="88" width="24" customWidth="1"/>
    <col min="89" max="89" width="22" customWidth="1"/>
    <col min="90" max="90" width="13" customWidth="1"/>
    <col min="91" max="91" width="23" customWidth="1"/>
    <col min="92" max="92" width="24" customWidth="1"/>
    <col min="93" max="93" width="23" customWidth="1"/>
    <col min="94" max="94" width="13" customWidth="1"/>
    <col min="95" max="95" width="15" customWidth="1"/>
    <col min="96" max="96" width="20" customWidth="1"/>
    <col min="97" max="97" width="15" customWidth="1"/>
    <col min="98" max="98" width="10" customWidth="1"/>
    <col min="99" max="99" width="15" customWidth="1"/>
  </cols>
  <sheetData>
    <row r="1" spans="1:99" ht="17.399999999999999" x14ac:dyDescent="0.3">
      <c r="A1" s="14" t="s">
        <v>453</v>
      </c>
    </row>
    <row r="2" spans="1:99" x14ac:dyDescent="0.3">
      <c r="A2" s="2" t="s">
        <v>454</v>
      </c>
    </row>
    <row r="4" spans="1:99" ht="26.4" x14ac:dyDescent="0.3">
      <c r="A4" s="3" t="s">
        <v>370</v>
      </c>
      <c r="B4" s="3" t="s">
        <v>371</v>
      </c>
      <c r="C4" s="3" t="s">
        <v>239</v>
      </c>
      <c r="D4" s="3" t="s">
        <v>38</v>
      </c>
      <c r="E4" s="3" t="s">
        <v>39</v>
      </c>
      <c r="F4" s="3" t="s">
        <v>255</v>
      </c>
      <c r="G4" s="3" t="s">
        <v>291</v>
      </c>
      <c r="H4" s="3" t="s">
        <v>227</v>
      </c>
      <c r="I4" s="3" t="s">
        <v>226</v>
      </c>
      <c r="J4" s="3" t="s">
        <v>455</v>
      </c>
      <c r="K4" s="3" t="s">
        <v>456</v>
      </c>
      <c r="L4" s="3" t="s">
        <v>457</v>
      </c>
      <c r="M4" s="3" t="s">
        <v>259</v>
      </c>
      <c r="N4" s="3" t="s">
        <v>257</v>
      </c>
      <c r="O4" s="3" t="s">
        <v>235</v>
      </c>
      <c r="P4" s="3" t="s">
        <v>357</v>
      </c>
      <c r="Q4" s="3" t="s">
        <v>229</v>
      </c>
      <c r="R4" s="3" t="s">
        <v>230</v>
      </c>
      <c r="S4" s="3" t="s">
        <v>231</v>
      </c>
      <c r="T4" s="3" t="s">
        <v>232</v>
      </c>
      <c r="U4" s="3" t="s">
        <v>228</v>
      </c>
      <c r="V4" s="3" t="s">
        <v>233</v>
      </c>
      <c r="W4" s="3" t="s">
        <v>234</v>
      </c>
      <c r="X4" s="3" t="s">
        <v>458</v>
      </c>
      <c r="Y4" s="3" t="s">
        <v>236</v>
      </c>
      <c r="Z4" s="3" t="s">
        <v>237</v>
      </c>
      <c r="AA4" s="3" t="s">
        <v>238</v>
      </c>
      <c r="AB4" s="3" t="s">
        <v>295</v>
      </c>
      <c r="AC4" s="3" t="s">
        <v>459</v>
      </c>
      <c r="AD4" s="3" t="s">
        <v>358</v>
      </c>
      <c r="AE4" s="3" t="s">
        <v>258</v>
      </c>
      <c r="AF4" s="3" t="s">
        <v>460</v>
      </c>
      <c r="AG4" s="3" t="s">
        <v>461</v>
      </c>
      <c r="AH4" s="3" t="s">
        <v>462</v>
      </c>
      <c r="AI4" s="3" t="s">
        <v>463</v>
      </c>
      <c r="AJ4" s="3" t="s">
        <v>464</v>
      </c>
      <c r="AK4" s="3" t="s">
        <v>292</v>
      </c>
      <c r="AL4" s="3" t="s">
        <v>293</v>
      </c>
      <c r="AM4" s="3" t="s">
        <v>465</v>
      </c>
      <c r="AN4" s="3" t="s">
        <v>466</v>
      </c>
      <c r="AO4" s="3" t="s">
        <v>467</v>
      </c>
      <c r="AP4" s="3" t="s">
        <v>468</v>
      </c>
      <c r="AQ4" s="3" t="s">
        <v>469</v>
      </c>
      <c r="AR4" s="3" t="s">
        <v>470</v>
      </c>
      <c r="AS4" s="3" t="s">
        <v>471</v>
      </c>
      <c r="AT4" s="3" t="s">
        <v>472</v>
      </c>
      <c r="AU4" s="3" t="s">
        <v>473</v>
      </c>
      <c r="AV4" s="3" t="s">
        <v>474</v>
      </c>
      <c r="AW4" s="3" t="s">
        <v>475</v>
      </c>
      <c r="AX4" s="3" t="s">
        <v>476</v>
      </c>
      <c r="AY4" s="3" t="s">
        <v>477</v>
      </c>
      <c r="AZ4" s="3" t="s">
        <v>478</v>
      </c>
      <c r="BA4" s="3" t="s">
        <v>296</v>
      </c>
      <c r="BB4" s="3" t="s">
        <v>297</v>
      </c>
      <c r="BC4" s="3" t="s">
        <v>479</v>
      </c>
      <c r="BD4" s="3" t="s">
        <v>480</v>
      </c>
      <c r="BE4" s="3" t="s">
        <v>481</v>
      </c>
      <c r="BF4" s="3" t="s">
        <v>482</v>
      </c>
      <c r="BG4" s="3" t="s">
        <v>483</v>
      </c>
      <c r="BH4" s="3" t="s">
        <v>484</v>
      </c>
      <c r="BI4" s="3" t="s">
        <v>485</v>
      </c>
      <c r="BJ4" s="3" t="s">
        <v>486</v>
      </c>
      <c r="BK4" s="3" t="s">
        <v>487</v>
      </c>
      <c r="BL4" s="3" t="s">
        <v>488</v>
      </c>
      <c r="BM4" s="3" t="s">
        <v>489</v>
      </c>
      <c r="BN4" s="3" t="s">
        <v>490</v>
      </c>
      <c r="BO4" s="3" t="s">
        <v>491</v>
      </c>
      <c r="BP4" s="3" t="s">
        <v>492</v>
      </c>
      <c r="BQ4" s="3" t="s">
        <v>493</v>
      </c>
      <c r="BR4" s="3" t="s">
        <v>494</v>
      </c>
      <c r="BS4" s="3" t="s">
        <v>495</v>
      </c>
      <c r="BT4" s="3" t="s">
        <v>496</v>
      </c>
      <c r="BU4" s="3" t="s">
        <v>497</v>
      </c>
      <c r="BV4" s="3" t="s">
        <v>498</v>
      </c>
      <c r="BW4" s="3" t="s">
        <v>499</v>
      </c>
      <c r="BX4" s="3" t="s">
        <v>500</v>
      </c>
      <c r="BY4" s="3" t="s">
        <v>501</v>
      </c>
      <c r="BZ4" s="3" t="s">
        <v>502</v>
      </c>
      <c r="CA4" s="3" t="s">
        <v>503</v>
      </c>
      <c r="CB4" s="3" t="s">
        <v>294</v>
      </c>
      <c r="CC4" s="3" t="s">
        <v>504</v>
      </c>
      <c r="CD4" s="3" t="s">
        <v>256</v>
      </c>
      <c r="CE4" s="3" t="s">
        <v>505</v>
      </c>
      <c r="CF4" s="3" t="s">
        <v>506</v>
      </c>
      <c r="CG4" s="3" t="s">
        <v>507</v>
      </c>
      <c r="CH4" s="3" t="s">
        <v>508</v>
      </c>
      <c r="CI4" s="3" t="s">
        <v>509</v>
      </c>
      <c r="CJ4" s="3" t="s">
        <v>510</v>
      </c>
      <c r="CK4" s="3" t="s">
        <v>511</v>
      </c>
      <c r="CL4" s="3" t="s">
        <v>512</v>
      </c>
      <c r="CM4" s="3" t="s">
        <v>513</v>
      </c>
      <c r="CN4" s="3" t="s">
        <v>514</v>
      </c>
      <c r="CO4" s="3" t="s">
        <v>515</v>
      </c>
      <c r="CP4" s="3" t="s">
        <v>516</v>
      </c>
      <c r="CQ4" s="3" t="s">
        <v>517</v>
      </c>
      <c r="CR4" s="3" t="s">
        <v>518</v>
      </c>
      <c r="CS4" s="3" t="s">
        <v>290</v>
      </c>
      <c r="CT4" s="3" t="s">
        <v>519</v>
      </c>
      <c r="CU4" s="3" t="s">
        <v>520</v>
      </c>
    </row>
    <row r="5" spans="1:99" x14ac:dyDescent="0.3">
      <c r="A5" s="4" t="s">
        <v>42</v>
      </c>
      <c r="B5" s="4" t="s">
        <v>400</v>
      </c>
      <c r="C5" s="4" t="s">
        <v>243</v>
      </c>
      <c r="D5" s="4" t="s">
        <v>47</v>
      </c>
      <c r="E5" s="4" t="s">
        <v>48</v>
      </c>
      <c r="F5" s="19">
        <v>3</v>
      </c>
      <c r="G5" s="19">
        <v>2</v>
      </c>
      <c r="H5" s="19">
        <v>6</v>
      </c>
      <c r="I5" s="19">
        <v>1</v>
      </c>
      <c r="J5" s="4" t="s">
        <v>521</v>
      </c>
      <c r="K5" s="4" t="s">
        <v>155</v>
      </c>
      <c r="L5" s="19">
        <v>60</v>
      </c>
      <c r="M5" s="19">
        <v>647</v>
      </c>
      <c r="N5" s="19">
        <v>7.5168209066666658E-2</v>
      </c>
      <c r="O5" s="19">
        <v>7.6184593066666653E-2</v>
      </c>
      <c r="P5" s="19">
        <v>99.883627139764769</v>
      </c>
      <c r="Q5" s="19">
        <v>16.64727118996079</v>
      </c>
      <c r="R5" s="19">
        <v>13.12601353826137</v>
      </c>
      <c r="S5" s="19">
        <v>99.883627139764783</v>
      </c>
      <c r="T5" s="19">
        <v>13.12601353826137</v>
      </c>
      <c r="U5" s="19">
        <v>11.228493335345791</v>
      </c>
      <c r="V5" s="19">
        <v>8.4524154663085938E-2</v>
      </c>
      <c r="W5" s="19">
        <v>8.7335991859436024E-2</v>
      </c>
      <c r="X5" s="19">
        <v>8.8675502647388105E-2</v>
      </c>
      <c r="Y5" s="19">
        <v>0.116100468503937</v>
      </c>
      <c r="Z5" s="19">
        <v>88</v>
      </c>
      <c r="AA5" s="19">
        <v>0</v>
      </c>
      <c r="AB5" s="19">
        <v>0</v>
      </c>
      <c r="AC5" s="19">
        <v>0</v>
      </c>
      <c r="AD5" s="19">
        <v>0.1124157547826535</v>
      </c>
      <c r="AE5" s="19">
        <v>1.1094651984177639</v>
      </c>
      <c r="AF5" s="4" t="s">
        <v>522</v>
      </c>
      <c r="AG5" s="19">
        <v>42</v>
      </c>
      <c r="AH5" s="19">
        <v>32</v>
      </c>
      <c r="AI5" s="19">
        <v>8</v>
      </c>
      <c r="AJ5" s="19">
        <v>5</v>
      </c>
      <c r="AK5" s="19">
        <v>500</v>
      </c>
      <c r="AL5" s="19">
        <v>2000</v>
      </c>
      <c r="AM5" s="4" t="s">
        <v>523</v>
      </c>
      <c r="AN5" s="19">
        <v>0</v>
      </c>
      <c r="AO5" s="19">
        <v>0</v>
      </c>
      <c r="AP5" s="19">
        <v>39.910489251370898</v>
      </c>
      <c r="AQ5" s="19">
        <v>79.820978502741795</v>
      </c>
      <c r="AR5" s="19">
        <v>1.016384E-3</v>
      </c>
      <c r="AS5" s="19">
        <v>0</v>
      </c>
      <c r="AT5" s="19">
        <v>9.7969393730163574</v>
      </c>
      <c r="AU5" s="19">
        <v>67.418205261230469</v>
      </c>
      <c r="AV5" s="19">
        <v>57.621265888214111</v>
      </c>
      <c r="AW5" s="19">
        <v>704</v>
      </c>
      <c r="AX5" s="19">
        <v>9.6992521286010727E-2</v>
      </c>
      <c r="AY5" s="19">
        <v>88</v>
      </c>
      <c r="AZ5" s="19">
        <v>0</v>
      </c>
      <c r="BA5" s="4"/>
      <c r="BB5" s="4"/>
      <c r="BC5" s="19">
        <v>1.163955848261748</v>
      </c>
      <c r="BD5" s="19">
        <v>647</v>
      </c>
      <c r="BE5" s="19">
        <v>0</v>
      </c>
      <c r="BF5" s="19">
        <v>11.228493335345791</v>
      </c>
      <c r="BG5" s="19">
        <v>8.4524154663085938E-2</v>
      </c>
      <c r="BH5" s="19">
        <v>8.8675502647388105E-2</v>
      </c>
      <c r="BI5" s="19">
        <v>4</v>
      </c>
      <c r="BJ5" s="19">
        <v>6</v>
      </c>
      <c r="BK5" s="19">
        <v>2.2182278507828161E-2</v>
      </c>
      <c r="BL5" s="19">
        <v>1.8410004640841601E-4</v>
      </c>
      <c r="BM5" s="19">
        <v>1.8479249208382511E-3</v>
      </c>
      <c r="BN5" s="19">
        <v>647</v>
      </c>
      <c r="BO5" s="19">
        <v>2.1150940536899952E-2</v>
      </c>
      <c r="BP5" s="19">
        <v>1.8887652495913379E-4</v>
      </c>
      <c r="BQ5" s="19">
        <v>5.8861493695832479E-3</v>
      </c>
      <c r="BR5" s="19">
        <v>647</v>
      </c>
      <c r="BS5" s="19">
        <v>2.2115299101037999E-2</v>
      </c>
      <c r="BT5" s="19">
        <v>1.8682398788711569E-4</v>
      </c>
      <c r="BU5" s="19">
        <v>5.8830547185364243E-3</v>
      </c>
      <c r="BV5" s="19">
        <v>647</v>
      </c>
      <c r="BW5" s="19">
        <v>0</v>
      </c>
      <c r="BX5" s="19">
        <v>0</v>
      </c>
      <c r="BY5" s="19">
        <v>6.9061338993644424E-3</v>
      </c>
      <c r="BZ5" s="19">
        <v>647</v>
      </c>
      <c r="CA5" s="19">
        <v>1</v>
      </c>
      <c r="CB5" s="19">
        <v>2000</v>
      </c>
      <c r="CC5" s="4"/>
      <c r="CD5" s="4"/>
      <c r="CE5" s="4"/>
      <c r="CF5" s="4"/>
      <c r="CG5" s="4"/>
      <c r="CH5" s="4"/>
      <c r="CI5" s="4"/>
      <c r="CJ5" s="4"/>
      <c r="CK5" s="4"/>
      <c r="CL5" s="4"/>
      <c r="CM5" s="4"/>
      <c r="CN5" s="4"/>
      <c r="CO5" s="4"/>
      <c r="CP5" s="4"/>
      <c r="CQ5" s="4"/>
      <c r="CR5" s="4"/>
      <c r="CS5" s="4"/>
      <c r="CT5" s="4"/>
      <c r="CU5" s="4"/>
    </row>
    <row r="6" spans="1:99" x14ac:dyDescent="0.3">
      <c r="A6" s="4" t="s">
        <v>42</v>
      </c>
      <c r="B6" s="4" t="s">
        <v>402</v>
      </c>
      <c r="C6" s="4" t="s">
        <v>244</v>
      </c>
      <c r="D6" s="4" t="s">
        <v>47</v>
      </c>
      <c r="E6" s="4" t="s">
        <v>48</v>
      </c>
      <c r="F6" s="19">
        <v>3</v>
      </c>
      <c r="G6" s="19">
        <v>2</v>
      </c>
      <c r="H6" s="19">
        <v>6</v>
      </c>
      <c r="I6" s="19">
        <v>2</v>
      </c>
      <c r="J6" s="4" t="s">
        <v>521</v>
      </c>
      <c r="K6" s="4" t="s">
        <v>155</v>
      </c>
      <c r="L6" s="19">
        <v>60</v>
      </c>
      <c r="M6" s="19">
        <v>1299</v>
      </c>
      <c r="N6" s="19">
        <v>7.5168209066666658E-2</v>
      </c>
      <c r="O6" s="19">
        <v>7.6184593066666653E-2</v>
      </c>
      <c r="P6" s="19">
        <v>99.883627139764769</v>
      </c>
      <c r="Q6" s="19">
        <v>33.294542379921587</v>
      </c>
      <c r="R6" s="19">
        <v>26.25202707652274</v>
      </c>
      <c r="S6" s="19">
        <v>99.883627139764783</v>
      </c>
      <c r="T6" s="19">
        <v>26.25202707652274</v>
      </c>
      <c r="U6" s="19">
        <v>22.564703495955929</v>
      </c>
      <c r="V6" s="19">
        <v>8.424067497253418E-2</v>
      </c>
      <c r="W6" s="19">
        <v>8.7430214881896964E-2</v>
      </c>
      <c r="X6" s="19">
        <v>8.8348646178623633E-2</v>
      </c>
      <c r="Y6" s="19">
        <v>0.23439477821522309</v>
      </c>
      <c r="Z6" s="19">
        <v>176</v>
      </c>
      <c r="AA6" s="19">
        <v>0</v>
      </c>
      <c r="AB6" s="19">
        <v>0</v>
      </c>
      <c r="AC6" s="19">
        <v>0</v>
      </c>
      <c r="AD6" s="19">
        <v>0.22590993280992569</v>
      </c>
      <c r="AE6" s="19">
        <v>1.1057442401617601</v>
      </c>
      <c r="AF6" s="4" t="s">
        <v>522</v>
      </c>
      <c r="AG6" s="19">
        <v>42</v>
      </c>
      <c r="AH6" s="19">
        <v>32</v>
      </c>
      <c r="AI6" s="19">
        <v>8</v>
      </c>
      <c r="AJ6" s="19">
        <v>5</v>
      </c>
      <c r="AK6" s="19">
        <v>500</v>
      </c>
      <c r="AL6" s="19">
        <v>2000</v>
      </c>
      <c r="AM6" s="4" t="s">
        <v>523</v>
      </c>
      <c r="AN6" s="19">
        <v>0</v>
      </c>
      <c r="AO6" s="19">
        <v>0</v>
      </c>
      <c r="AP6" s="19">
        <v>39.910489251370898</v>
      </c>
      <c r="AQ6" s="19">
        <v>79.820978502741795</v>
      </c>
      <c r="AR6" s="19">
        <v>1.016384E-3</v>
      </c>
      <c r="AS6" s="19">
        <v>0</v>
      </c>
      <c r="AT6" s="19">
        <v>9.1690311431884766</v>
      </c>
      <c r="AU6" s="19">
        <v>66.736816167831421</v>
      </c>
      <c r="AV6" s="19">
        <v>57.567785024642937</v>
      </c>
      <c r="AW6" s="19">
        <v>1414</v>
      </c>
      <c r="AX6" s="19">
        <v>9.0937280654907221E-2</v>
      </c>
      <c r="AY6" s="19">
        <v>178</v>
      </c>
      <c r="AZ6" s="19">
        <v>0</v>
      </c>
      <c r="BA6" s="4"/>
      <c r="BB6" s="4"/>
      <c r="BC6" s="19">
        <v>1.159665525827678</v>
      </c>
      <c r="BD6" s="19">
        <v>1299</v>
      </c>
      <c r="BE6" s="19">
        <v>0</v>
      </c>
      <c r="BF6" s="19">
        <v>22.564703495955929</v>
      </c>
      <c r="BG6" s="19">
        <v>8.424067497253418E-2</v>
      </c>
      <c r="BH6" s="19">
        <v>8.8348646178623633E-2</v>
      </c>
      <c r="BI6" s="19">
        <v>8</v>
      </c>
      <c r="BJ6" s="19">
        <v>6</v>
      </c>
      <c r="BK6" s="19">
        <v>2.361977633048647E-2</v>
      </c>
      <c r="BL6" s="19">
        <v>1.7370318043948319E-4</v>
      </c>
      <c r="BM6" s="19">
        <v>2.3104086495327469E-3</v>
      </c>
      <c r="BN6" s="19">
        <v>1298</v>
      </c>
      <c r="BO6" s="19">
        <v>2.1159733021387881E-2</v>
      </c>
      <c r="BP6" s="19">
        <v>1.7795522334211961E-4</v>
      </c>
      <c r="BQ6" s="19">
        <v>5.8269436443899002E-3</v>
      </c>
      <c r="BR6" s="19">
        <v>1298</v>
      </c>
      <c r="BS6" s="19">
        <v>2.1619307976474381E-2</v>
      </c>
      <c r="BT6" s="19">
        <v>1.8381062200513939E-4</v>
      </c>
      <c r="BU6" s="19">
        <v>5.8405834647650354E-3</v>
      </c>
      <c r="BV6" s="19">
        <v>1298</v>
      </c>
      <c r="BW6" s="19">
        <v>0</v>
      </c>
      <c r="BX6" s="19">
        <v>0</v>
      </c>
      <c r="BY6" s="19">
        <v>6.4449692066125084E-3</v>
      </c>
      <c r="BZ6" s="19">
        <v>1299</v>
      </c>
      <c r="CA6" s="19">
        <v>2</v>
      </c>
      <c r="CB6" s="19">
        <v>2000</v>
      </c>
      <c r="CC6" s="4"/>
      <c r="CD6" s="4"/>
      <c r="CE6" s="4"/>
      <c r="CF6" s="4"/>
      <c r="CG6" s="4"/>
      <c r="CH6" s="4"/>
      <c r="CI6" s="4"/>
      <c r="CJ6" s="4"/>
      <c r="CK6" s="4"/>
      <c r="CL6" s="4"/>
      <c r="CM6" s="4"/>
      <c r="CN6" s="4"/>
      <c r="CO6" s="4"/>
      <c r="CP6" s="4"/>
      <c r="CQ6" s="4"/>
      <c r="CR6" s="4"/>
      <c r="CS6" s="4"/>
      <c r="CT6" s="4"/>
      <c r="CU6" s="4"/>
    </row>
    <row r="7" spans="1:99" x14ac:dyDescent="0.3">
      <c r="A7" s="4" t="s">
        <v>42</v>
      </c>
      <c r="B7" s="4" t="s">
        <v>404</v>
      </c>
      <c r="C7" s="4" t="s">
        <v>245</v>
      </c>
      <c r="D7" s="4" t="s">
        <v>47</v>
      </c>
      <c r="E7" s="4" t="s">
        <v>48</v>
      </c>
      <c r="F7" s="19">
        <v>3</v>
      </c>
      <c r="G7" s="19">
        <v>2</v>
      </c>
      <c r="H7" s="19">
        <v>6</v>
      </c>
      <c r="I7" s="19">
        <v>3</v>
      </c>
      <c r="J7" s="4" t="s">
        <v>521</v>
      </c>
      <c r="K7" s="4" t="s">
        <v>155</v>
      </c>
      <c r="L7" s="19">
        <v>60</v>
      </c>
      <c r="M7" s="19">
        <v>1944</v>
      </c>
      <c r="N7" s="19">
        <v>7.5168209066666658E-2</v>
      </c>
      <c r="O7" s="19">
        <v>7.6184593066666653E-2</v>
      </c>
      <c r="P7" s="19">
        <v>99.883627139764769</v>
      </c>
      <c r="Q7" s="19">
        <v>49.941813569882378</v>
      </c>
      <c r="R7" s="19">
        <v>39.378040614784119</v>
      </c>
      <c r="S7" s="19">
        <v>99.883627139764783</v>
      </c>
      <c r="T7" s="19">
        <v>39.378040614784119</v>
      </c>
      <c r="U7" s="19">
        <v>33.759524445279091</v>
      </c>
      <c r="V7" s="19">
        <v>8.4113836288452148E-2</v>
      </c>
      <c r="W7" s="19">
        <v>8.940895795822143E-2</v>
      </c>
      <c r="X7" s="19">
        <v>8.8637426679517017E-2</v>
      </c>
      <c r="Y7" s="19">
        <v>0.35081208519003931</v>
      </c>
      <c r="Z7" s="19">
        <v>264</v>
      </c>
      <c r="AA7" s="19">
        <v>0</v>
      </c>
      <c r="AB7" s="19">
        <v>0</v>
      </c>
      <c r="AC7" s="19">
        <v>0</v>
      </c>
      <c r="AD7" s="19">
        <v>0.33798857142062128</v>
      </c>
      <c r="AE7" s="19">
        <v>1.1040793538773239</v>
      </c>
      <c r="AF7" s="4" t="s">
        <v>522</v>
      </c>
      <c r="AG7" s="19">
        <v>42</v>
      </c>
      <c r="AH7" s="19">
        <v>32</v>
      </c>
      <c r="AI7" s="19">
        <v>8</v>
      </c>
      <c r="AJ7" s="19">
        <v>5</v>
      </c>
      <c r="AK7" s="19">
        <v>500</v>
      </c>
      <c r="AL7" s="19">
        <v>2000</v>
      </c>
      <c r="AM7" s="4" t="s">
        <v>523</v>
      </c>
      <c r="AN7" s="19">
        <v>0</v>
      </c>
      <c r="AO7" s="19">
        <v>0</v>
      </c>
      <c r="AP7" s="19">
        <v>39.910489251370898</v>
      </c>
      <c r="AQ7" s="19">
        <v>79.820978502741795</v>
      </c>
      <c r="AR7" s="19">
        <v>1.016384E-3</v>
      </c>
      <c r="AS7" s="19">
        <v>0</v>
      </c>
      <c r="AT7" s="19">
        <v>9.8327460289001465</v>
      </c>
      <c r="AU7" s="19">
        <v>67.416495561599731</v>
      </c>
      <c r="AV7" s="19">
        <v>57.583749532699578</v>
      </c>
      <c r="AW7" s="19">
        <v>2115</v>
      </c>
      <c r="AX7" s="19">
        <v>9.2994756698608377E-2</v>
      </c>
      <c r="AY7" s="19">
        <v>267</v>
      </c>
      <c r="AZ7" s="19">
        <v>0</v>
      </c>
      <c r="BA7" s="4"/>
      <c r="BB7" s="4"/>
      <c r="BC7" s="19">
        <v>1.1634560625919901</v>
      </c>
      <c r="BD7" s="19">
        <v>1944</v>
      </c>
      <c r="BE7" s="19">
        <v>0</v>
      </c>
      <c r="BF7" s="19">
        <v>33.759524445279091</v>
      </c>
      <c r="BG7" s="19">
        <v>8.4113836288452148E-2</v>
      </c>
      <c r="BH7" s="19">
        <v>8.8637426679517017E-2</v>
      </c>
      <c r="BI7" s="19">
        <v>12</v>
      </c>
      <c r="BJ7" s="19">
        <v>6</v>
      </c>
      <c r="BK7" s="19">
        <v>2.176703625521299E-2</v>
      </c>
      <c r="BL7" s="19">
        <v>2.5323676669923128E-4</v>
      </c>
      <c r="BM7" s="19">
        <v>1.759009039445E-3</v>
      </c>
      <c r="BN7" s="19">
        <v>1941</v>
      </c>
      <c r="BO7" s="19">
        <v>2.3105684687008451E-2</v>
      </c>
      <c r="BP7" s="19">
        <v>2.045848710897899E-4</v>
      </c>
      <c r="BQ7" s="19">
        <v>5.7916064218193081E-3</v>
      </c>
      <c r="BR7" s="19">
        <v>1942</v>
      </c>
      <c r="BS7" s="19">
        <v>2.1780030717575009E-2</v>
      </c>
      <c r="BT7" s="19">
        <v>1.9209191141795719E-4</v>
      </c>
      <c r="BU7" s="19">
        <v>6.105935132061994E-3</v>
      </c>
      <c r="BV7" s="19">
        <v>1944</v>
      </c>
      <c r="BW7" s="19">
        <v>0</v>
      </c>
      <c r="BX7" s="19">
        <v>0</v>
      </c>
      <c r="BY7" s="19">
        <v>6.2098303204210694E-3</v>
      </c>
      <c r="BZ7" s="19">
        <v>1944</v>
      </c>
      <c r="CA7" s="19">
        <v>3</v>
      </c>
      <c r="CB7" s="19">
        <v>2000</v>
      </c>
      <c r="CC7" s="4"/>
      <c r="CD7" s="4"/>
      <c r="CE7" s="4"/>
      <c r="CF7" s="4"/>
      <c r="CG7" s="4"/>
      <c r="CH7" s="4"/>
      <c r="CI7" s="4"/>
      <c r="CJ7" s="4"/>
      <c r="CK7" s="4"/>
      <c r="CL7" s="4"/>
      <c r="CM7" s="4"/>
      <c r="CN7" s="4"/>
      <c r="CO7" s="4"/>
      <c r="CP7" s="4"/>
      <c r="CQ7" s="4"/>
      <c r="CR7" s="4"/>
      <c r="CS7" s="4"/>
      <c r="CT7" s="4"/>
      <c r="CU7" s="4"/>
    </row>
    <row r="8" spans="1:99" x14ac:dyDescent="0.3">
      <c r="A8" s="4" t="s">
        <v>42</v>
      </c>
      <c r="B8" s="4" t="s">
        <v>406</v>
      </c>
      <c r="C8" s="4" t="s">
        <v>246</v>
      </c>
      <c r="D8" s="4" t="s">
        <v>47</v>
      </c>
      <c r="E8" s="4" t="s">
        <v>48</v>
      </c>
      <c r="F8" s="19">
        <v>3</v>
      </c>
      <c r="G8" s="19">
        <v>2</v>
      </c>
      <c r="H8" s="19">
        <v>6</v>
      </c>
      <c r="I8" s="19">
        <v>4</v>
      </c>
      <c r="J8" s="4" t="s">
        <v>521</v>
      </c>
      <c r="K8" s="4" t="s">
        <v>155</v>
      </c>
      <c r="L8" s="19">
        <v>60</v>
      </c>
      <c r="M8" s="19">
        <v>2589</v>
      </c>
      <c r="N8" s="19">
        <v>7.5168209066666658E-2</v>
      </c>
      <c r="O8" s="19">
        <v>7.6184593066666653E-2</v>
      </c>
      <c r="P8" s="19">
        <v>99.883627139764769</v>
      </c>
      <c r="Q8" s="19">
        <v>66.589084759843175</v>
      </c>
      <c r="R8" s="19">
        <v>52.504054153045487</v>
      </c>
      <c r="S8" s="19">
        <v>99.883627139764783</v>
      </c>
      <c r="T8" s="19">
        <v>52.504054153045487</v>
      </c>
      <c r="U8" s="19">
        <v>44.944281080913832</v>
      </c>
      <c r="V8" s="19">
        <v>8.4147214889526367E-2</v>
      </c>
      <c r="W8" s="19">
        <v>9.1146373748779291E-2</v>
      </c>
      <c r="X8" s="19">
        <v>8.8740094742198489E-2</v>
      </c>
      <c r="Y8" s="19">
        <v>0.46887611795543899</v>
      </c>
      <c r="Z8" s="19">
        <v>352</v>
      </c>
      <c r="AA8" s="19">
        <v>0</v>
      </c>
      <c r="AB8" s="19">
        <v>0</v>
      </c>
      <c r="AC8" s="19">
        <v>0</v>
      </c>
      <c r="AD8" s="19">
        <v>0.44996644963667942</v>
      </c>
      <c r="AE8" s="19">
        <v>1.1045174818469119</v>
      </c>
      <c r="AF8" s="4" t="s">
        <v>522</v>
      </c>
      <c r="AG8" s="19">
        <v>42</v>
      </c>
      <c r="AH8" s="19">
        <v>32</v>
      </c>
      <c r="AI8" s="19">
        <v>8</v>
      </c>
      <c r="AJ8" s="19">
        <v>5</v>
      </c>
      <c r="AK8" s="19">
        <v>500</v>
      </c>
      <c r="AL8" s="19">
        <v>2000</v>
      </c>
      <c r="AM8" s="4" t="s">
        <v>523</v>
      </c>
      <c r="AN8" s="19">
        <v>0</v>
      </c>
      <c r="AO8" s="19">
        <v>0</v>
      </c>
      <c r="AP8" s="19">
        <v>39.910489251370898</v>
      </c>
      <c r="AQ8" s="19">
        <v>79.820978502741795</v>
      </c>
      <c r="AR8" s="19">
        <v>1.016384E-3</v>
      </c>
      <c r="AS8" s="19">
        <v>0</v>
      </c>
      <c r="AT8" s="19">
        <v>9.4292037487030029</v>
      </c>
      <c r="AU8" s="19">
        <v>67.033863067626953</v>
      </c>
      <c r="AV8" s="19">
        <v>57.60465931892395</v>
      </c>
      <c r="AW8" s="19">
        <v>2817</v>
      </c>
      <c r="AX8" s="19">
        <v>9.5674657821655226E-2</v>
      </c>
      <c r="AY8" s="19">
        <v>353</v>
      </c>
      <c r="AZ8" s="19">
        <v>0</v>
      </c>
      <c r="BA8" s="4"/>
      <c r="BB8" s="4"/>
      <c r="BC8" s="19">
        <v>1.1648036849726939</v>
      </c>
      <c r="BD8" s="19">
        <v>2589</v>
      </c>
      <c r="BE8" s="19">
        <v>0</v>
      </c>
      <c r="BF8" s="19">
        <v>44.944281080913832</v>
      </c>
      <c r="BG8" s="19">
        <v>8.4147214889526367E-2</v>
      </c>
      <c r="BH8" s="19">
        <v>8.8740094742198489E-2</v>
      </c>
      <c r="BI8" s="19">
        <v>16</v>
      </c>
      <c r="BJ8" s="19">
        <v>6</v>
      </c>
      <c r="BK8" s="19">
        <v>2.302291277990581E-2</v>
      </c>
      <c r="BL8" s="19">
        <v>3.3343091924139802E-4</v>
      </c>
      <c r="BM8" s="19">
        <v>1.729744776535772E-3</v>
      </c>
      <c r="BN8" s="19">
        <v>2585</v>
      </c>
      <c r="BO8" s="19">
        <v>2.2610969325958831E-2</v>
      </c>
      <c r="BP8" s="19">
        <v>4.6233288514646359E-4</v>
      </c>
      <c r="BQ8" s="19">
        <v>6.0050431300555131E-3</v>
      </c>
      <c r="BR8" s="19">
        <v>2587</v>
      </c>
      <c r="BS8" s="19">
        <v>2.1155287925687799E-2</v>
      </c>
      <c r="BT8" s="19">
        <v>2.3787525364126931E-4</v>
      </c>
      <c r="BU8" s="19">
        <v>5.7807020258839039E-3</v>
      </c>
      <c r="BV8" s="19">
        <v>2589</v>
      </c>
      <c r="BW8" s="19">
        <v>0</v>
      </c>
      <c r="BX8" s="19">
        <v>0</v>
      </c>
      <c r="BY8" s="19">
        <v>5.9627434976223404E-3</v>
      </c>
      <c r="BZ8" s="19">
        <v>2589</v>
      </c>
      <c r="CA8" s="19">
        <v>4</v>
      </c>
      <c r="CB8" s="19">
        <v>2000</v>
      </c>
      <c r="CC8" s="4"/>
      <c r="CD8" s="4"/>
      <c r="CE8" s="4"/>
      <c r="CF8" s="4"/>
      <c r="CG8" s="4"/>
      <c r="CH8" s="4"/>
      <c r="CI8" s="4"/>
      <c r="CJ8" s="4"/>
      <c r="CK8" s="4"/>
      <c r="CL8" s="4"/>
      <c r="CM8" s="4"/>
      <c r="CN8" s="4"/>
      <c r="CO8" s="4"/>
      <c r="CP8" s="4"/>
      <c r="CQ8" s="4"/>
      <c r="CR8" s="4"/>
      <c r="CS8" s="4"/>
      <c r="CT8" s="4"/>
      <c r="CU8" s="4"/>
    </row>
    <row r="9" spans="1:99" x14ac:dyDescent="0.3">
      <c r="A9" s="4" t="s">
        <v>42</v>
      </c>
      <c r="B9" s="4" t="s">
        <v>408</v>
      </c>
      <c r="C9" s="4" t="s">
        <v>247</v>
      </c>
      <c r="D9" s="4" t="s">
        <v>47</v>
      </c>
      <c r="E9" s="4" t="s">
        <v>48</v>
      </c>
      <c r="F9" s="19">
        <v>3</v>
      </c>
      <c r="G9" s="19">
        <v>2</v>
      </c>
      <c r="H9" s="19">
        <v>6</v>
      </c>
      <c r="I9" s="19">
        <v>6</v>
      </c>
      <c r="J9" s="4" t="s">
        <v>521</v>
      </c>
      <c r="K9" s="4" t="s">
        <v>155</v>
      </c>
      <c r="L9" s="19">
        <v>60</v>
      </c>
      <c r="M9" s="19">
        <v>3908</v>
      </c>
      <c r="N9" s="19">
        <v>7.5168209066666658E-2</v>
      </c>
      <c r="O9" s="19">
        <v>7.6184593066666653E-2</v>
      </c>
      <c r="P9" s="19">
        <v>99.883627139764769</v>
      </c>
      <c r="Q9" s="19">
        <v>99.883627139764769</v>
      </c>
      <c r="R9" s="19">
        <v>78.756081229568238</v>
      </c>
      <c r="S9" s="19">
        <v>99.883627139764783</v>
      </c>
      <c r="T9" s="19">
        <v>78.756081229568238</v>
      </c>
      <c r="U9" s="19">
        <v>67.817708292260917</v>
      </c>
      <c r="V9" s="19">
        <v>8.3893299102783203E-2</v>
      </c>
      <c r="W9" s="19">
        <v>8.8438844680786124E-2</v>
      </c>
      <c r="X9" s="19">
        <v>8.8200871080556686E-2</v>
      </c>
      <c r="Y9" s="19">
        <v>0.70002099869791667</v>
      </c>
      <c r="Z9" s="19">
        <v>528</v>
      </c>
      <c r="AA9" s="19">
        <v>0</v>
      </c>
      <c r="AB9" s="19">
        <v>0</v>
      </c>
      <c r="AC9" s="19">
        <v>0</v>
      </c>
      <c r="AD9" s="19">
        <v>0.67896721649250102</v>
      </c>
      <c r="AE9" s="19">
        <v>1.101184579792543</v>
      </c>
      <c r="AF9" s="4" t="s">
        <v>522</v>
      </c>
      <c r="AG9" s="19">
        <v>42</v>
      </c>
      <c r="AH9" s="19">
        <v>32</v>
      </c>
      <c r="AI9" s="19">
        <v>8</v>
      </c>
      <c r="AJ9" s="19">
        <v>5</v>
      </c>
      <c r="AK9" s="19">
        <v>500</v>
      </c>
      <c r="AL9" s="19">
        <v>2000</v>
      </c>
      <c r="AM9" s="4" t="s">
        <v>523</v>
      </c>
      <c r="AN9" s="19">
        <v>0</v>
      </c>
      <c r="AO9" s="19">
        <v>0</v>
      </c>
      <c r="AP9" s="19">
        <v>39.910489251370898</v>
      </c>
      <c r="AQ9" s="19">
        <v>79.820978502741795</v>
      </c>
      <c r="AR9" s="19">
        <v>1.016384E-3</v>
      </c>
      <c r="AS9" s="19">
        <v>0</v>
      </c>
      <c r="AT9" s="19">
        <v>9.399467945098877</v>
      </c>
      <c r="AU9" s="19">
        <v>67.024535179138184</v>
      </c>
      <c r="AV9" s="19">
        <v>57.625067234039307</v>
      </c>
      <c r="AW9" s="19">
        <v>4254</v>
      </c>
      <c r="AX9" s="19">
        <v>9.1762068271636951E-2</v>
      </c>
      <c r="AY9" s="19">
        <v>534</v>
      </c>
      <c r="AZ9" s="19">
        <v>0</v>
      </c>
      <c r="BA9" s="4"/>
      <c r="BB9" s="4"/>
      <c r="BC9" s="19">
        <v>1.157725827889833</v>
      </c>
      <c r="BD9" s="19">
        <v>3908</v>
      </c>
      <c r="BE9" s="19">
        <v>0</v>
      </c>
      <c r="BF9" s="19">
        <v>67.817708292260917</v>
      </c>
      <c r="BG9" s="19">
        <v>8.3893299102783203E-2</v>
      </c>
      <c r="BH9" s="19">
        <v>8.8200871080556686E-2</v>
      </c>
      <c r="BI9" s="19">
        <v>24</v>
      </c>
      <c r="BJ9" s="19">
        <v>6</v>
      </c>
      <c r="BK9" s="19">
        <v>2.2147340933278341E-2</v>
      </c>
      <c r="BL9" s="19">
        <v>2.829745240156537E-4</v>
      </c>
      <c r="BM9" s="19">
        <v>1.8554656362106191E-3</v>
      </c>
      <c r="BN9" s="19">
        <v>3905</v>
      </c>
      <c r="BO9" s="19">
        <v>2.2123786405728409E-2</v>
      </c>
      <c r="BP9" s="19">
        <v>2.29020760844319E-4</v>
      </c>
      <c r="BQ9" s="19">
        <v>5.776758628567853E-3</v>
      </c>
      <c r="BR9" s="19">
        <v>3906</v>
      </c>
      <c r="BS9" s="19">
        <v>2.2206070174214301E-2</v>
      </c>
      <c r="BT9" s="19">
        <v>2.127926693724024E-4</v>
      </c>
      <c r="BU9" s="19">
        <v>5.94609689078043E-3</v>
      </c>
      <c r="BV9" s="19">
        <v>3908</v>
      </c>
      <c r="BW9" s="19">
        <v>0</v>
      </c>
      <c r="BX9" s="19">
        <v>0</v>
      </c>
      <c r="BY9" s="19">
        <v>6.0077968492966713E-3</v>
      </c>
      <c r="BZ9" s="19">
        <v>3908</v>
      </c>
      <c r="CA9" s="19">
        <v>6</v>
      </c>
      <c r="CB9" s="19">
        <v>2000</v>
      </c>
      <c r="CC9" s="4"/>
      <c r="CD9" s="4"/>
      <c r="CE9" s="4"/>
      <c r="CF9" s="4"/>
      <c r="CG9" s="4"/>
      <c r="CH9" s="4"/>
      <c r="CI9" s="4"/>
      <c r="CJ9" s="4"/>
      <c r="CK9" s="4"/>
      <c r="CL9" s="4"/>
      <c r="CM9" s="4"/>
      <c r="CN9" s="4"/>
      <c r="CO9" s="4"/>
      <c r="CP9" s="4"/>
      <c r="CQ9" s="4"/>
      <c r="CR9" s="4"/>
      <c r="CS9" s="4"/>
      <c r="CT9" s="4"/>
      <c r="CU9" s="4"/>
    </row>
    <row r="10" spans="1:99" x14ac:dyDescent="0.3">
      <c r="A10" s="4" t="s">
        <v>42</v>
      </c>
      <c r="B10" s="4" t="s">
        <v>410</v>
      </c>
      <c r="C10" s="4" t="s">
        <v>248</v>
      </c>
      <c r="D10" s="4" t="s">
        <v>47</v>
      </c>
      <c r="E10" s="4" t="s">
        <v>48</v>
      </c>
      <c r="F10" s="19">
        <v>3</v>
      </c>
      <c r="G10" s="19">
        <v>2</v>
      </c>
      <c r="H10" s="19">
        <v>6</v>
      </c>
      <c r="I10" s="19">
        <v>8</v>
      </c>
      <c r="J10" s="4" t="s">
        <v>521</v>
      </c>
      <c r="K10" s="4" t="s">
        <v>155</v>
      </c>
      <c r="L10" s="19">
        <v>60</v>
      </c>
      <c r="M10" s="19">
        <v>5120</v>
      </c>
      <c r="N10" s="19">
        <v>7.5168209066666658E-2</v>
      </c>
      <c r="O10" s="19">
        <v>7.6184593066666653E-2</v>
      </c>
      <c r="P10" s="19">
        <v>99.883627139764769</v>
      </c>
      <c r="Q10" s="19">
        <v>99.883627139764769</v>
      </c>
      <c r="R10" s="19">
        <v>105.008108306091</v>
      </c>
      <c r="S10" s="19">
        <v>99.883627139764783</v>
      </c>
      <c r="T10" s="19">
        <v>99.883627139764783</v>
      </c>
      <c r="U10" s="19">
        <v>88.869581325862143</v>
      </c>
      <c r="V10" s="19">
        <v>8.5001111030578613E-2</v>
      </c>
      <c r="W10" s="19">
        <v>9.1685223579406741E-2</v>
      </c>
      <c r="X10" s="19">
        <v>8.976655188016594E-2</v>
      </c>
      <c r="Y10" s="19">
        <v>0.91141506937172767</v>
      </c>
      <c r="Z10" s="19">
        <v>694</v>
      </c>
      <c r="AA10" s="19">
        <v>0</v>
      </c>
      <c r="AB10" s="19">
        <v>0</v>
      </c>
      <c r="AC10" s="19">
        <v>0</v>
      </c>
      <c r="AD10" s="19">
        <v>0.88973121892649198</v>
      </c>
      <c r="AE10" s="19">
        <v>1.1157257341546329</v>
      </c>
      <c r="AF10" s="4" t="s">
        <v>522</v>
      </c>
      <c r="AG10" s="19">
        <v>42</v>
      </c>
      <c r="AH10" s="19">
        <v>32</v>
      </c>
      <c r="AI10" s="19">
        <v>8</v>
      </c>
      <c r="AJ10" s="19">
        <v>5</v>
      </c>
      <c r="AK10" s="19">
        <v>500</v>
      </c>
      <c r="AL10" s="19">
        <v>2000</v>
      </c>
      <c r="AM10" s="4" t="s">
        <v>523</v>
      </c>
      <c r="AN10" s="19">
        <v>0</v>
      </c>
      <c r="AO10" s="19">
        <v>0</v>
      </c>
      <c r="AP10" s="19">
        <v>39.910489251370898</v>
      </c>
      <c r="AQ10" s="19">
        <v>79.820978502741795</v>
      </c>
      <c r="AR10" s="19">
        <v>1.016384E-3</v>
      </c>
      <c r="AS10" s="19">
        <v>0</v>
      </c>
      <c r="AT10" s="19">
        <v>9.6944434642791748</v>
      </c>
      <c r="AU10" s="19">
        <v>67.306957483291626</v>
      </c>
      <c r="AV10" s="19">
        <v>57.612514019012451</v>
      </c>
      <c r="AW10" s="19">
        <v>5568</v>
      </c>
      <c r="AX10" s="19">
        <v>9.456918954849243E-2</v>
      </c>
      <c r="AY10" s="19">
        <v>698</v>
      </c>
      <c r="AZ10" s="19">
        <v>0</v>
      </c>
      <c r="BA10" s="4"/>
      <c r="BB10" s="4"/>
      <c r="BC10" s="19">
        <v>1.1782769752621001</v>
      </c>
      <c r="BD10" s="19">
        <v>5120</v>
      </c>
      <c r="BE10" s="19">
        <v>0</v>
      </c>
      <c r="BF10" s="19">
        <v>88.869581325862143</v>
      </c>
      <c r="BG10" s="19">
        <v>8.5001111030578613E-2</v>
      </c>
      <c r="BH10" s="19">
        <v>8.976655188016594E-2</v>
      </c>
      <c r="BI10" s="19">
        <v>32</v>
      </c>
      <c r="BJ10" s="19">
        <v>6</v>
      </c>
      <c r="BK10" s="19">
        <v>2.183897997841594E-2</v>
      </c>
      <c r="BL10" s="19">
        <v>1.461492975941383E-3</v>
      </c>
      <c r="BM10" s="19">
        <v>1.6847950525474031E-3</v>
      </c>
      <c r="BN10" s="19">
        <v>5114</v>
      </c>
      <c r="BO10" s="19">
        <v>2.1889708254652349E-2</v>
      </c>
      <c r="BP10" s="19">
        <v>6.4555153052633495E-4</v>
      </c>
      <c r="BQ10" s="19">
        <v>6.0132388680870412E-3</v>
      </c>
      <c r="BR10" s="19">
        <v>5116</v>
      </c>
      <c r="BS10" s="19">
        <v>2.1760152391550731E-2</v>
      </c>
      <c r="BT10" s="19">
        <v>6.1335830122011162E-4</v>
      </c>
      <c r="BU10" s="19">
        <v>5.9096310557029633E-3</v>
      </c>
      <c r="BV10" s="19">
        <v>5118</v>
      </c>
      <c r="BW10" s="19">
        <v>0</v>
      </c>
      <c r="BX10" s="19">
        <v>0</v>
      </c>
      <c r="BY10" s="19">
        <v>6.4599922392517316E-3</v>
      </c>
      <c r="BZ10" s="19">
        <v>5120</v>
      </c>
      <c r="CA10" s="19">
        <v>8</v>
      </c>
      <c r="CB10" s="19">
        <v>2000</v>
      </c>
      <c r="CC10" s="4"/>
      <c r="CD10" s="4"/>
      <c r="CE10" s="4"/>
      <c r="CF10" s="4"/>
      <c r="CG10" s="4"/>
      <c r="CH10" s="4"/>
      <c r="CI10" s="4"/>
      <c r="CJ10" s="4"/>
      <c r="CK10" s="4"/>
      <c r="CL10" s="4"/>
      <c r="CM10" s="4"/>
      <c r="CN10" s="4"/>
      <c r="CO10" s="4"/>
      <c r="CP10" s="4"/>
      <c r="CQ10" s="4"/>
      <c r="CR10" s="4"/>
      <c r="CS10" s="4"/>
      <c r="CT10" s="4"/>
      <c r="CU10" s="4"/>
    </row>
    <row r="11" spans="1:99" x14ac:dyDescent="0.3">
      <c r="A11" s="4" t="s">
        <v>42</v>
      </c>
      <c r="B11" s="4" t="s">
        <v>412</v>
      </c>
      <c r="C11" s="4" t="s">
        <v>249</v>
      </c>
      <c r="D11" s="4" t="s">
        <v>47</v>
      </c>
      <c r="E11" s="4" t="s">
        <v>48</v>
      </c>
      <c r="F11" s="19">
        <v>3</v>
      </c>
      <c r="G11" s="19">
        <v>2</v>
      </c>
      <c r="H11" s="19">
        <v>6</v>
      </c>
      <c r="I11" s="19">
        <v>12</v>
      </c>
      <c r="J11" s="4" t="s">
        <v>521</v>
      </c>
      <c r="K11" s="4" t="s">
        <v>155</v>
      </c>
      <c r="L11" s="19">
        <v>60</v>
      </c>
      <c r="M11" s="19">
        <v>5162</v>
      </c>
      <c r="N11" s="19">
        <v>7.5168209066666658E-2</v>
      </c>
      <c r="O11" s="19">
        <v>7.6184593066666653E-2</v>
      </c>
      <c r="P11" s="19">
        <v>99.883627139764769</v>
      </c>
      <c r="Q11" s="19">
        <v>99.883627139764769</v>
      </c>
      <c r="R11" s="19">
        <v>157.5121624591365</v>
      </c>
      <c r="S11" s="19">
        <v>99.883627139764783</v>
      </c>
      <c r="T11" s="19">
        <v>99.883627139764783</v>
      </c>
      <c r="U11" s="19">
        <v>89.546012486730021</v>
      </c>
      <c r="V11" s="19">
        <v>0.12789011001586911</v>
      </c>
      <c r="W11" s="19">
        <v>0.13188650608062741</v>
      </c>
      <c r="X11" s="19">
        <v>0.1337689075854249</v>
      </c>
      <c r="Y11" s="19">
        <v>0.9155024220779221</v>
      </c>
      <c r="Z11" s="19">
        <v>696</v>
      </c>
      <c r="AA11" s="19">
        <v>0</v>
      </c>
      <c r="AB11" s="19">
        <v>0</v>
      </c>
      <c r="AC11" s="19">
        <v>0</v>
      </c>
      <c r="AD11" s="19">
        <v>0.89650341152940338</v>
      </c>
      <c r="AE11" s="19">
        <v>1.6786873154780351</v>
      </c>
      <c r="AF11" s="4" t="s">
        <v>522</v>
      </c>
      <c r="AG11" s="19">
        <v>42</v>
      </c>
      <c r="AH11" s="19">
        <v>32</v>
      </c>
      <c r="AI11" s="19">
        <v>8</v>
      </c>
      <c r="AJ11" s="19">
        <v>5</v>
      </c>
      <c r="AK11" s="19">
        <v>500</v>
      </c>
      <c r="AL11" s="19">
        <v>2000</v>
      </c>
      <c r="AM11" s="4" t="s">
        <v>523</v>
      </c>
      <c r="AN11" s="19">
        <v>0</v>
      </c>
      <c r="AO11" s="19">
        <v>0</v>
      </c>
      <c r="AP11" s="19">
        <v>39.910489251370898</v>
      </c>
      <c r="AQ11" s="19">
        <v>79.820978502741795</v>
      </c>
      <c r="AR11" s="19">
        <v>1.016384E-3</v>
      </c>
      <c r="AS11" s="19">
        <v>0</v>
      </c>
      <c r="AT11" s="19">
        <v>9.8305985927581787</v>
      </c>
      <c r="AU11" s="19">
        <v>67.476939916610718</v>
      </c>
      <c r="AV11" s="19">
        <v>57.646341323852539</v>
      </c>
      <c r="AW11" s="19">
        <v>5619</v>
      </c>
      <c r="AX11" s="19">
        <v>0.13486450433731079</v>
      </c>
      <c r="AY11" s="19">
        <v>708</v>
      </c>
      <c r="AZ11" s="19">
        <v>0</v>
      </c>
      <c r="BA11" s="4"/>
      <c r="BB11" s="4"/>
      <c r="BC11" s="19">
        <v>1.7558524919647209</v>
      </c>
      <c r="BD11" s="19">
        <v>5162</v>
      </c>
      <c r="BE11" s="19">
        <v>0</v>
      </c>
      <c r="BF11" s="19">
        <v>89.546012486730021</v>
      </c>
      <c r="BG11" s="19">
        <v>0.12789011001586911</v>
      </c>
      <c r="BH11" s="19">
        <v>0.1337689075854249</v>
      </c>
      <c r="BI11" s="19">
        <v>44</v>
      </c>
      <c r="BJ11" s="19">
        <v>6</v>
      </c>
      <c r="BK11" s="19">
        <v>2.1819313914711539E-2</v>
      </c>
      <c r="BL11" s="19">
        <v>1.20619468126347E-2</v>
      </c>
      <c r="BM11" s="19">
        <v>1.7358330460675541E-3</v>
      </c>
      <c r="BN11" s="19">
        <v>5153</v>
      </c>
      <c r="BO11" s="19">
        <v>2.1819268604948261E-2</v>
      </c>
      <c r="BP11" s="19">
        <v>1.0708563774101489E-3</v>
      </c>
      <c r="BQ11" s="19">
        <v>5.8462758993894351E-3</v>
      </c>
      <c r="BR11" s="19">
        <v>5155</v>
      </c>
      <c r="BS11" s="19">
        <v>2.2054282038710842E-2</v>
      </c>
      <c r="BT11" s="19">
        <v>3.337704576263132E-2</v>
      </c>
      <c r="BU11" s="19">
        <v>6.2596843224163199E-3</v>
      </c>
      <c r="BV11" s="19">
        <v>5160</v>
      </c>
      <c r="BW11" s="19">
        <v>0</v>
      </c>
      <c r="BX11" s="19">
        <v>0</v>
      </c>
      <c r="BY11" s="19">
        <v>6.1745795571771719E-3</v>
      </c>
      <c r="BZ11" s="19">
        <v>5162</v>
      </c>
      <c r="CA11" s="19">
        <v>12</v>
      </c>
      <c r="CB11" s="19">
        <v>2000</v>
      </c>
      <c r="CC11" s="4"/>
      <c r="CD11" s="4"/>
      <c r="CE11" s="4"/>
      <c r="CF11" s="4"/>
      <c r="CG11" s="4"/>
      <c r="CH11" s="4"/>
      <c r="CI11" s="4"/>
      <c r="CJ11" s="4"/>
      <c r="CK11" s="4"/>
      <c r="CL11" s="4"/>
      <c r="CM11" s="4"/>
      <c r="CN11" s="4"/>
      <c r="CO11" s="4"/>
      <c r="CP11" s="4"/>
      <c r="CQ11" s="4"/>
      <c r="CR11" s="4"/>
      <c r="CS11" s="4"/>
      <c r="CT11" s="4"/>
      <c r="CU11" s="4"/>
    </row>
    <row r="12" spans="1:99" x14ac:dyDescent="0.3">
      <c r="A12" s="4" t="s">
        <v>42</v>
      </c>
      <c r="B12" s="4" t="s">
        <v>414</v>
      </c>
      <c r="C12" s="4" t="s">
        <v>250</v>
      </c>
      <c r="D12" s="4" t="s">
        <v>47</v>
      </c>
      <c r="E12" s="4" t="s">
        <v>48</v>
      </c>
      <c r="F12" s="19">
        <v>3</v>
      </c>
      <c r="G12" s="19">
        <v>2</v>
      </c>
      <c r="H12" s="19">
        <v>6</v>
      </c>
      <c r="I12" s="19">
        <v>16</v>
      </c>
      <c r="J12" s="4" t="s">
        <v>521</v>
      </c>
      <c r="K12" s="4" t="s">
        <v>155</v>
      </c>
      <c r="L12" s="19">
        <v>60</v>
      </c>
      <c r="M12" s="19">
        <v>5318</v>
      </c>
      <c r="N12" s="19">
        <v>7.5168209066666658E-2</v>
      </c>
      <c r="O12" s="19">
        <v>7.6184593066666653E-2</v>
      </c>
      <c r="P12" s="19">
        <v>99.883627139764769</v>
      </c>
      <c r="Q12" s="19">
        <v>99.883627139764769</v>
      </c>
      <c r="R12" s="19">
        <v>210.01621661218189</v>
      </c>
      <c r="S12" s="19">
        <v>99.883627139764783</v>
      </c>
      <c r="T12" s="19">
        <v>99.883627139764783</v>
      </c>
      <c r="U12" s="19">
        <v>92.212801280591322</v>
      </c>
      <c r="V12" s="19">
        <v>0.1695966720581055</v>
      </c>
      <c r="W12" s="19">
        <v>0.1735338449478149</v>
      </c>
      <c r="X12" s="19">
        <v>0.17329679713656279</v>
      </c>
      <c r="Y12" s="19">
        <v>0.93289500787401569</v>
      </c>
      <c r="Z12" s="19">
        <v>704</v>
      </c>
      <c r="AA12" s="19">
        <v>0</v>
      </c>
      <c r="AB12" s="19">
        <v>0</v>
      </c>
      <c r="AC12" s="19">
        <v>0</v>
      </c>
      <c r="AD12" s="19">
        <v>0.92320236980941983</v>
      </c>
      <c r="AE12" s="19">
        <v>2.2261282134787672</v>
      </c>
      <c r="AF12" s="4" t="s">
        <v>522</v>
      </c>
      <c r="AG12" s="19">
        <v>42</v>
      </c>
      <c r="AH12" s="19">
        <v>32</v>
      </c>
      <c r="AI12" s="19">
        <v>8</v>
      </c>
      <c r="AJ12" s="19">
        <v>5</v>
      </c>
      <c r="AK12" s="19">
        <v>500</v>
      </c>
      <c r="AL12" s="19">
        <v>2000</v>
      </c>
      <c r="AM12" s="4" t="s">
        <v>523</v>
      </c>
      <c r="AN12" s="19">
        <v>0</v>
      </c>
      <c r="AO12" s="19">
        <v>0</v>
      </c>
      <c r="AP12" s="19">
        <v>39.910489251370898</v>
      </c>
      <c r="AQ12" s="19">
        <v>79.820978502741795</v>
      </c>
      <c r="AR12" s="19">
        <v>1.016384E-3</v>
      </c>
      <c r="AS12" s="19">
        <v>0</v>
      </c>
      <c r="AT12" s="19">
        <v>8.8394880294799805</v>
      </c>
      <c r="AU12" s="19">
        <v>66.51043963432312</v>
      </c>
      <c r="AV12" s="19">
        <v>57.67095160484314</v>
      </c>
      <c r="AW12" s="19">
        <v>5660</v>
      </c>
      <c r="AX12" s="19">
        <v>0.17564432621002199</v>
      </c>
      <c r="AY12" s="19">
        <v>720</v>
      </c>
      <c r="AZ12" s="19">
        <v>0</v>
      </c>
      <c r="BA12" s="4"/>
      <c r="BB12" s="4"/>
      <c r="BC12" s="19">
        <v>2.274696105351858</v>
      </c>
      <c r="BD12" s="19">
        <v>5318</v>
      </c>
      <c r="BE12" s="19">
        <v>0</v>
      </c>
      <c r="BF12" s="19">
        <v>92.212801280591322</v>
      </c>
      <c r="BG12" s="19">
        <v>0.1695966720581055</v>
      </c>
      <c r="BH12" s="19">
        <v>0.17329679713656279</v>
      </c>
      <c r="BI12" s="19">
        <v>7</v>
      </c>
      <c r="BJ12" s="19">
        <v>6</v>
      </c>
      <c r="BK12" s="19">
        <v>2.1417169303218499E-2</v>
      </c>
      <c r="BL12" s="19">
        <v>4.3856387265930517E-2</v>
      </c>
      <c r="BM12" s="19">
        <v>1.680756163219806E-3</v>
      </c>
      <c r="BN12" s="19">
        <v>5308</v>
      </c>
      <c r="BO12" s="19">
        <v>2.1411877529448769E-2</v>
      </c>
      <c r="BP12" s="19">
        <v>2.2231872720890739E-2</v>
      </c>
      <c r="BQ12" s="19">
        <v>6.0084319437842771E-3</v>
      </c>
      <c r="BR12" s="19">
        <v>5312</v>
      </c>
      <c r="BS12" s="19">
        <v>2.1413906567790981E-2</v>
      </c>
      <c r="BT12" s="19">
        <v>2.2088267643528829E-2</v>
      </c>
      <c r="BU12" s="19">
        <v>5.9135881378024569E-3</v>
      </c>
      <c r="BV12" s="19">
        <v>5316</v>
      </c>
      <c r="BW12" s="19">
        <v>0</v>
      </c>
      <c r="BX12" s="19">
        <v>0</v>
      </c>
      <c r="BY12" s="19">
        <v>5.8737523397048999E-3</v>
      </c>
      <c r="BZ12" s="19">
        <v>5318</v>
      </c>
      <c r="CA12" s="19">
        <v>16</v>
      </c>
      <c r="CB12" s="19">
        <v>2000</v>
      </c>
      <c r="CC12" s="4"/>
      <c r="CD12" s="4"/>
      <c r="CE12" s="4"/>
      <c r="CF12" s="4"/>
      <c r="CG12" s="4"/>
      <c r="CH12" s="4"/>
      <c r="CI12" s="4"/>
      <c r="CJ12" s="4"/>
      <c r="CK12" s="4"/>
      <c r="CL12" s="4"/>
      <c r="CM12" s="4"/>
      <c r="CN12" s="4"/>
      <c r="CO12" s="4"/>
      <c r="CP12" s="4"/>
      <c r="CQ12" s="4"/>
      <c r="CR12" s="4"/>
      <c r="CS12" s="4"/>
      <c r="CT12" s="4"/>
      <c r="CU12" s="4"/>
    </row>
    <row r="13" spans="1:99" x14ac:dyDescent="0.3">
      <c r="A13" s="4" t="s">
        <v>42</v>
      </c>
      <c r="B13" s="4" t="s">
        <v>416</v>
      </c>
      <c r="C13" s="4" t="s">
        <v>251</v>
      </c>
      <c r="D13" s="4" t="s">
        <v>47</v>
      </c>
      <c r="E13" s="4" t="s">
        <v>48</v>
      </c>
      <c r="F13" s="19">
        <v>3</v>
      </c>
      <c r="G13" s="19">
        <v>2</v>
      </c>
      <c r="H13" s="19">
        <v>6</v>
      </c>
      <c r="I13" s="19">
        <v>24</v>
      </c>
      <c r="J13" s="4" t="s">
        <v>521</v>
      </c>
      <c r="K13" s="4" t="s">
        <v>155</v>
      </c>
      <c r="L13" s="19">
        <v>60</v>
      </c>
      <c r="M13" s="19">
        <v>5191</v>
      </c>
      <c r="N13" s="19">
        <v>7.5168209066666658E-2</v>
      </c>
      <c r="O13" s="19">
        <v>7.6184593066666653E-2</v>
      </c>
      <c r="P13" s="19">
        <v>99.883627139764769</v>
      </c>
      <c r="Q13" s="19">
        <v>99.883627139764769</v>
      </c>
      <c r="R13" s="19">
        <v>315.02432491827301</v>
      </c>
      <c r="S13" s="19">
        <v>99.883627139764783</v>
      </c>
      <c r="T13" s="19">
        <v>99.883627139764783</v>
      </c>
      <c r="U13" s="19">
        <v>89.876374466547887</v>
      </c>
      <c r="V13" s="19">
        <v>0.2552790641784668</v>
      </c>
      <c r="W13" s="19">
        <v>0.25910437107086182</v>
      </c>
      <c r="X13" s="19">
        <v>0.26677101688609139</v>
      </c>
      <c r="Y13" s="19">
        <v>0.92551232031250008</v>
      </c>
      <c r="Z13" s="19">
        <v>696</v>
      </c>
      <c r="AA13" s="19">
        <v>0</v>
      </c>
      <c r="AB13" s="19">
        <v>0</v>
      </c>
      <c r="AC13" s="19">
        <v>0</v>
      </c>
      <c r="AD13" s="19">
        <v>0.89981088032361922</v>
      </c>
      <c r="AE13" s="19">
        <v>3.3507964524412488</v>
      </c>
      <c r="AF13" s="4" t="s">
        <v>522</v>
      </c>
      <c r="AG13" s="19">
        <v>42</v>
      </c>
      <c r="AH13" s="19">
        <v>32</v>
      </c>
      <c r="AI13" s="19">
        <v>8</v>
      </c>
      <c r="AJ13" s="19">
        <v>5</v>
      </c>
      <c r="AK13" s="19">
        <v>500</v>
      </c>
      <c r="AL13" s="19">
        <v>2000</v>
      </c>
      <c r="AM13" s="4" t="s">
        <v>523</v>
      </c>
      <c r="AN13" s="19">
        <v>0</v>
      </c>
      <c r="AO13" s="19">
        <v>0</v>
      </c>
      <c r="AP13" s="19">
        <v>39.910489251370898</v>
      </c>
      <c r="AQ13" s="19">
        <v>79.820978502741795</v>
      </c>
      <c r="AR13" s="19">
        <v>1.016384E-3</v>
      </c>
      <c r="AS13" s="19">
        <v>0</v>
      </c>
      <c r="AT13" s="19">
        <v>10.130457401275629</v>
      </c>
      <c r="AU13" s="19">
        <v>67.887571334838867</v>
      </c>
      <c r="AV13" s="19">
        <v>57.757113933563232</v>
      </c>
      <c r="AW13" s="19">
        <v>5649</v>
      </c>
      <c r="AX13" s="19">
        <v>0.86666989326477084</v>
      </c>
      <c r="AY13" s="19">
        <v>720</v>
      </c>
      <c r="AZ13" s="19">
        <v>0</v>
      </c>
      <c r="BA13" s="4"/>
      <c r="BB13" s="4"/>
      <c r="BC13" s="19">
        <v>3.5016399792625901</v>
      </c>
      <c r="BD13" s="19">
        <v>5191</v>
      </c>
      <c r="BE13" s="19">
        <v>0</v>
      </c>
      <c r="BF13" s="19">
        <v>89.876374466547887</v>
      </c>
      <c r="BG13" s="19">
        <v>0.2552790641784668</v>
      </c>
      <c r="BH13" s="19">
        <v>0.26677101688609139</v>
      </c>
      <c r="BI13" s="19">
        <v>30</v>
      </c>
      <c r="BJ13" s="19">
        <v>6</v>
      </c>
      <c r="BK13" s="19">
        <v>2.197099440669811E-2</v>
      </c>
      <c r="BL13" s="19">
        <v>0.13391581503863129</v>
      </c>
      <c r="BM13" s="19">
        <v>1.749305231786101E-3</v>
      </c>
      <c r="BN13" s="19">
        <v>5181</v>
      </c>
      <c r="BO13" s="19">
        <v>2.1972037262774968E-2</v>
      </c>
      <c r="BP13" s="19">
        <v>2.2754648271509911E-2</v>
      </c>
      <c r="BQ13" s="19">
        <v>6.095111898781938E-3</v>
      </c>
      <c r="BR13" s="19">
        <v>5186</v>
      </c>
      <c r="BS13" s="19">
        <v>2.1967432310585799E-2</v>
      </c>
      <c r="BT13" s="19">
        <v>2.2607172660974641E-2</v>
      </c>
      <c r="BU13" s="19">
        <v>6.0345404869329494E-3</v>
      </c>
      <c r="BV13" s="19">
        <v>5190</v>
      </c>
      <c r="BW13" s="19">
        <v>0</v>
      </c>
      <c r="BX13" s="19">
        <v>0</v>
      </c>
      <c r="BY13" s="19">
        <v>6.2790451149011802E-3</v>
      </c>
      <c r="BZ13" s="19">
        <v>5191</v>
      </c>
      <c r="CA13" s="19">
        <v>24</v>
      </c>
      <c r="CB13" s="19">
        <v>2000</v>
      </c>
      <c r="CC13" s="4"/>
      <c r="CD13" s="4"/>
      <c r="CE13" s="4"/>
      <c r="CF13" s="4"/>
      <c r="CG13" s="4"/>
      <c r="CH13" s="4"/>
      <c r="CI13" s="4"/>
      <c r="CJ13" s="4"/>
      <c r="CK13" s="4"/>
      <c r="CL13" s="4"/>
      <c r="CM13" s="4"/>
      <c r="CN13" s="4"/>
      <c r="CO13" s="4"/>
      <c r="CP13" s="4"/>
      <c r="CQ13" s="4"/>
      <c r="CR13" s="4"/>
      <c r="CS13" s="4"/>
      <c r="CT13" s="4"/>
      <c r="CU13" s="4"/>
    </row>
    <row r="14" spans="1:99" x14ac:dyDescent="0.3">
      <c r="A14" s="4" t="s">
        <v>42</v>
      </c>
      <c r="B14" s="4" t="s">
        <v>418</v>
      </c>
      <c r="C14" s="4" t="s">
        <v>252</v>
      </c>
      <c r="D14" s="4" t="s">
        <v>47</v>
      </c>
      <c r="E14" s="4" t="s">
        <v>48</v>
      </c>
      <c r="F14" s="19">
        <v>3</v>
      </c>
      <c r="G14" s="19">
        <v>2</v>
      </c>
      <c r="H14" s="19">
        <v>6</v>
      </c>
      <c r="I14" s="19">
        <v>32</v>
      </c>
      <c r="J14" s="4" t="s">
        <v>521</v>
      </c>
      <c r="K14" s="4" t="s">
        <v>155</v>
      </c>
      <c r="L14" s="19">
        <v>60</v>
      </c>
      <c r="M14" s="19">
        <v>5215</v>
      </c>
      <c r="N14" s="19">
        <v>7.5168209066666658E-2</v>
      </c>
      <c r="O14" s="19">
        <v>7.6184593066666653E-2</v>
      </c>
      <c r="P14" s="19">
        <v>99.883627139764769</v>
      </c>
      <c r="Q14" s="19">
        <v>99.883627139764769</v>
      </c>
      <c r="R14" s="19">
        <v>420.0324332243639</v>
      </c>
      <c r="S14" s="19">
        <v>99.883627139764783</v>
      </c>
      <c r="T14" s="19">
        <v>99.883627139764783</v>
      </c>
      <c r="U14" s="19">
        <v>90.157295626623565</v>
      </c>
      <c r="V14" s="19">
        <v>0.33914065361022949</v>
      </c>
      <c r="W14" s="19">
        <v>0.34384386539459227</v>
      </c>
      <c r="X14" s="19">
        <v>0.35472778359629847</v>
      </c>
      <c r="Y14" s="19">
        <v>0.93330344094488193</v>
      </c>
      <c r="Z14" s="19">
        <v>704</v>
      </c>
      <c r="AA14" s="19">
        <v>0</v>
      </c>
      <c r="AB14" s="19">
        <v>0</v>
      </c>
      <c r="AC14" s="19">
        <v>0</v>
      </c>
      <c r="AD14" s="19">
        <v>0.90262336489311323</v>
      </c>
      <c r="AE14" s="19">
        <v>4.4515648106626831</v>
      </c>
      <c r="AF14" s="4" t="s">
        <v>522</v>
      </c>
      <c r="AG14" s="19">
        <v>42</v>
      </c>
      <c r="AH14" s="19">
        <v>32</v>
      </c>
      <c r="AI14" s="19">
        <v>8</v>
      </c>
      <c r="AJ14" s="19">
        <v>5</v>
      </c>
      <c r="AK14" s="19">
        <v>500</v>
      </c>
      <c r="AL14" s="19">
        <v>2000</v>
      </c>
      <c r="AM14" s="4" t="s">
        <v>523</v>
      </c>
      <c r="AN14" s="19">
        <v>0</v>
      </c>
      <c r="AO14" s="19">
        <v>0</v>
      </c>
      <c r="AP14" s="19">
        <v>39.910489251370898</v>
      </c>
      <c r="AQ14" s="19">
        <v>79.820978502741795</v>
      </c>
      <c r="AR14" s="19">
        <v>1.016384E-3</v>
      </c>
      <c r="AS14" s="19">
        <v>0</v>
      </c>
      <c r="AT14" s="19">
        <v>9.0171492099761963</v>
      </c>
      <c r="AU14" s="19">
        <v>66.860499143600464</v>
      </c>
      <c r="AV14" s="19">
        <v>57.843349933624268</v>
      </c>
      <c r="AW14" s="19">
        <v>5673</v>
      </c>
      <c r="AX14" s="19">
        <v>0.97602772235870361</v>
      </c>
      <c r="AY14" s="19">
        <v>736</v>
      </c>
      <c r="AZ14" s="19">
        <v>0</v>
      </c>
      <c r="BA14" s="4"/>
      <c r="BB14" s="4"/>
      <c r="BC14" s="19">
        <v>4.656161689882464</v>
      </c>
      <c r="BD14" s="19">
        <v>5215</v>
      </c>
      <c r="BE14" s="19">
        <v>0</v>
      </c>
      <c r="BF14" s="19">
        <v>90.157295626623565</v>
      </c>
      <c r="BG14" s="19">
        <v>0.33914065361022949</v>
      </c>
      <c r="BH14" s="19">
        <v>0.35472778359629847</v>
      </c>
      <c r="BI14" s="19">
        <v>0</v>
      </c>
      <c r="BJ14" s="19">
        <v>6</v>
      </c>
      <c r="BK14" s="19">
        <v>2.1909012915398401E-2</v>
      </c>
      <c r="BL14" s="19">
        <v>0.23363106836047121</v>
      </c>
      <c r="BM14" s="19">
        <v>1.6973585153697689E-3</v>
      </c>
      <c r="BN14" s="19">
        <v>5206</v>
      </c>
      <c r="BO14" s="19">
        <v>2.1859759720531158E-2</v>
      </c>
      <c r="BP14" s="19">
        <v>1.1666757128110061E-2</v>
      </c>
      <c r="BQ14" s="19">
        <v>6.1217186477962853E-3</v>
      </c>
      <c r="BR14" s="19">
        <v>5209</v>
      </c>
      <c r="BS14" s="19">
        <v>2.1906862507663931E-2</v>
      </c>
      <c r="BT14" s="19">
        <v>2.2250689580424969E-2</v>
      </c>
      <c r="BU14" s="19">
        <v>6.2521635731564293E-3</v>
      </c>
      <c r="BV14" s="19">
        <v>5214</v>
      </c>
      <c r="BW14" s="19">
        <v>0</v>
      </c>
      <c r="BX14" s="19">
        <v>0</v>
      </c>
      <c r="BY14" s="19">
        <v>6.0402144178790989E-3</v>
      </c>
      <c r="BZ14" s="19">
        <v>5215</v>
      </c>
      <c r="CA14" s="19">
        <v>32</v>
      </c>
      <c r="CB14" s="19">
        <v>2000</v>
      </c>
      <c r="CC14" s="4"/>
      <c r="CD14" s="4"/>
      <c r="CE14" s="4"/>
      <c r="CF14" s="4"/>
      <c r="CG14" s="4"/>
      <c r="CH14" s="4"/>
      <c r="CI14" s="4"/>
      <c r="CJ14" s="4"/>
      <c r="CK14" s="4"/>
      <c r="CL14" s="4"/>
      <c r="CM14" s="4"/>
      <c r="CN14" s="4"/>
      <c r="CO14" s="4"/>
      <c r="CP14" s="4"/>
      <c r="CQ14" s="4"/>
      <c r="CR14" s="4"/>
      <c r="CS14" s="4"/>
      <c r="CT14" s="4"/>
      <c r="CU14" s="4"/>
    </row>
    <row r="15" spans="1:99" x14ac:dyDescent="0.3">
      <c r="A15" s="4" t="s">
        <v>51</v>
      </c>
      <c r="B15" s="4" t="s">
        <v>421</v>
      </c>
      <c r="C15" s="4" t="s">
        <v>260</v>
      </c>
      <c r="D15" s="4" t="s">
        <v>47</v>
      </c>
      <c r="E15" s="4" t="s">
        <v>48</v>
      </c>
      <c r="F15" s="19">
        <v>2</v>
      </c>
      <c r="G15" s="19">
        <v>1</v>
      </c>
      <c r="H15" s="19">
        <v>2</v>
      </c>
      <c r="I15" s="19">
        <v>1</v>
      </c>
      <c r="J15" s="4" t="s">
        <v>521</v>
      </c>
      <c r="K15" s="4" t="s">
        <v>155</v>
      </c>
      <c r="L15" s="19">
        <v>45</v>
      </c>
      <c r="M15" s="19">
        <v>571</v>
      </c>
      <c r="N15" s="19">
        <v>6.2135441066666658E-2</v>
      </c>
      <c r="O15" s="19">
        <v>6.3151825066666667E-2</v>
      </c>
      <c r="P15" s="19">
        <v>33.294542379921587</v>
      </c>
      <c r="Q15" s="19">
        <v>16.64727118996079</v>
      </c>
      <c r="R15" s="19">
        <v>15.83485511217361</v>
      </c>
      <c r="S15" s="19">
        <v>33.294542379921587</v>
      </c>
      <c r="T15" s="19">
        <v>15.83485511217361</v>
      </c>
      <c r="U15" s="19">
        <v>13.83629905344009</v>
      </c>
      <c r="V15" s="19">
        <v>6.9268226623535156E-2</v>
      </c>
      <c r="W15" s="19">
        <v>7.457423210144043E-2</v>
      </c>
      <c r="X15" s="19">
        <v>7.2015598651197874E-2</v>
      </c>
      <c r="Y15" s="19">
        <v>0.41593165625</v>
      </c>
      <c r="Z15" s="19">
        <v>80</v>
      </c>
      <c r="AA15" s="19">
        <v>0</v>
      </c>
      <c r="AB15" s="19">
        <v>0</v>
      </c>
      <c r="AC15" s="19">
        <v>0</v>
      </c>
      <c r="AD15" s="19">
        <v>0.41557258530707802</v>
      </c>
      <c r="AE15" s="19">
        <v>1.0968523324608861</v>
      </c>
      <c r="AF15" s="4" t="s">
        <v>522</v>
      </c>
      <c r="AG15" s="19">
        <v>42</v>
      </c>
      <c r="AH15" s="19">
        <v>32</v>
      </c>
      <c r="AI15" s="19">
        <v>8</v>
      </c>
      <c r="AJ15" s="19">
        <v>5</v>
      </c>
      <c r="AK15" s="19">
        <v>500</v>
      </c>
      <c r="AL15" s="19">
        <v>2000</v>
      </c>
      <c r="AM15" s="4" t="s">
        <v>523</v>
      </c>
      <c r="AN15" s="19">
        <v>0</v>
      </c>
      <c r="AO15" s="19">
        <v>0</v>
      </c>
      <c r="AP15" s="19">
        <v>32.187749304847607</v>
      </c>
      <c r="AQ15" s="19">
        <v>32.187749304847607</v>
      </c>
      <c r="AR15" s="19">
        <v>1.016384E-3</v>
      </c>
      <c r="AS15" s="19">
        <v>0</v>
      </c>
      <c r="AT15" s="19">
        <v>9.1516058444976807</v>
      </c>
      <c r="AU15" s="19">
        <v>50.419866800308228</v>
      </c>
      <c r="AV15" s="19">
        <v>41.268260955810547</v>
      </c>
      <c r="AW15" s="19">
        <v>641</v>
      </c>
      <c r="AX15" s="19">
        <v>7.9121637344360327E-2</v>
      </c>
      <c r="AY15" s="19">
        <v>81</v>
      </c>
      <c r="AZ15" s="19">
        <v>0</v>
      </c>
      <c r="BA15" s="4"/>
      <c r="BB15" s="4"/>
      <c r="BC15" s="19">
        <v>1.1403565704581631</v>
      </c>
      <c r="BD15" s="19">
        <v>571</v>
      </c>
      <c r="BE15" s="19">
        <v>0</v>
      </c>
      <c r="BF15" s="19">
        <v>13.83629905344009</v>
      </c>
      <c r="BG15" s="19">
        <v>6.9268226623535156E-2</v>
      </c>
      <c r="BH15" s="19">
        <v>7.2015598651197874E-2</v>
      </c>
      <c r="BI15" s="19">
        <v>2</v>
      </c>
      <c r="BJ15" s="19">
        <v>2</v>
      </c>
      <c r="BK15" s="19">
        <v>3.3364082637586091E-2</v>
      </c>
      <c r="BL15" s="19">
        <v>1.84933344523112E-4</v>
      </c>
      <c r="BM15" s="19">
        <v>1.861591924700821E-3</v>
      </c>
      <c r="BN15" s="19">
        <v>570</v>
      </c>
      <c r="BO15" s="19">
        <v>3.119180369795414E-2</v>
      </c>
      <c r="BP15" s="19">
        <v>1.7914730205870511E-4</v>
      </c>
      <c r="BQ15" s="19">
        <v>1.876025869135271E-3</v>
      </c>
      <c r="BR15" s="19">
        <v>570</v>
      </c>
      <c r="BS15" s="19">
        <v>0</v>
      </c>
      <c r="BT15" s="19">
        <v>0</v>
      </c>
      <c r="BU15" s="19">
        <v>1.9713688230765052E-3</v>
      </c>
      <c r="BV15" s="19">
        <v>571</v>
      </c>
      <c r="BW15" s="4"/>
      <c r="BX15" s="4"/>
      <c r="BY15" s="4"/>
      <c r="BZ15" s="4"/>
      <c r="CA15" s="4"/>
      <c r="CB15" s="4"/>
      <c r="CC15" s="19">
        <v>2</v>
      </c>
      <c r="CD15" s="19">
        <v>1</v>
      </c>
      <c r="CE15" s="4"/>
      <c r="CF15" s="4"/>
      <c r="CG15" s="4"/>
      <c r="CH15" s="4"/>
      <c r="CI15" s="4"/>
      <c r="CJ15" s="4"/>
      <c r="CK15" s="4"/>
      <c r="CL15" s="4"/>
      <c r="CM15" s="4"/>
      <c r="CN15" s="4"/>
      <c r="CO15" s="4"/>
      <c r="CP15" s="4"/>
      <c r="CQ15" s="4"/>
      <c r="CR15" s="4"/>
      <c r="CS15" s="4"/>
      <c r="CT15" s="4"/>
      <c r="CU15" s="4"/>
    </row>
    <row r="16" spans="1:99" x14ac:dyDescent="0.3">
      <c r="A16" s="4" t="s">
        <v>51</v>
      </c>
      <c r="B16" s="4" t="s">
        <v>423</v>
      </c>
      <c r="C16" s="4" t="s">
        <v>261</v>
      </c>
      <c r="D16" s="4" t="s">
        <v>47</v>
      </c>
      <c r="E16" s="4" t="s">
        <v>48</v>
      </c>
      <c r="F16" s="19">
        <v>2</v>
      </c>
      <c r="G16" s="19">
        <v>1</v>
      </c>
      <c r="H16" s="19">
        <v>2</v>
      </c>
      <c r="I16" s="19">
        <v>1</v>
      </c>
      <c r="J16" s="4" t="s">
        <v>521</v>
      </c>
      <c r="K16" s="4" t="s">
        <v>155</v>
      </c>
      <c r="L16" s="19">
        <v>45</v>
      </c>
      <c r="M16" s="19">
        <v>512</v>
      </c>
      <c r="N16" s="19">
        <v>7.0135441066666665E-2</v>
      </c>
      <c r="O16" s="19">
        <v>7.115182506666666E-2</v>
      </c>
      <c r="P16" s="19">
        <v>33.294542379921587</v>
      </c>
      <c r="Q16" s="19">
        <v>16.64727118996079</v>
      </c>
      <c r="R16" s="19">
        <v>14.054453263328609</v>
      </c>
      <c r="S16" s="19">
        <v>33.294542379921587</v>
      </c>
      <c r="T16" s="19">
        <v>14.054453263328609</v>
      </c>
      <c r="U16" s="19">
        <v>12.381958449129071</v>
      </c>
      <c r="V16" s="19">
        <v>7.7233791351318359E-2</v>
      </c>
      <c r="W16" s="19">
        <v>8.3383262157440186E-2</v>
      </c>
      <c r="X16" s="19">
        <v>8.035602979362011E-2</v>
      </c>
      <c r="Y16" s="19">
        <v>0.36603680102040809</v>
      </c>
      <c r="Z16" s="19">
        <v>71</v>
      </c>
      <c r="AA16" s="19">
        <v>0</v>
      </c>
      <c r="AB16" s="19">
        <v>0</v>
      </c>
      <c r="AC16" s="19">
        <v>0</v>
      </c>
      <c r="AD16" s="19">
        <v>0.37189153428929728</v>
      </c>
      <c r="AE16" s="19">
        <v>1.0854787108967781</v>
      </c>
      <c r="AF16" s="4" t="s">
        <v>522</v>
      </c>
      <c r="AG16" s="19">
        <v>42</v>
      </c>
      <c r="AH16" s="19">
        <v>32</v>
      </c>
      <c r="AI16" s="19">
        <v>8</v>
      </c>
      <c r="AJ16" s="19">
        <v>5</v>
      </c>
      <c r="AK16" s="19">
        <v>500</v>
      </c>
      <c r="AL16" s="19">
        <v>2000</v>
      </c>
      <c r="AM16" s="4" t="s">
        <v>523</v>
      </c>
      <c r="AN16" s="19">
        <v>0</v>
      </c>
      <c r="AO16" s="19">
        <v>0</v>
      </c>
      <c r="AP16" s="19">
        <v>28.516253260586421</v>
      </c>
      <c r="AQ16" s="19">
        <v>28.516253260586421</v>
      </c>
      <c r="AR16" s="19">
        <v>1.016384E-3</v>
      </c>
      <c r="AS16" s="19">
        <v>0</v>
      </c>
      <c r="AT16" s="19">
        <v>9.2763011455535889</v>
      </c>
      <c r="AU16" s="19">
        <v>50.626787185668952</v>
      </c>
      <c r="AV16" s="19">
        <v>41.350486040115364</v>
      </c>
      <c r="AW16" s="19">
        <v>575</v>
      </c>
      <c r="AX16" s="19">
        <v>9.0529758930206289E-2</v>
      </c>
      <c r="AY16" s="19">
        <v>72</v>
      </c>
      <c r="AZ16" s="19">
        <v>0</v>
      </c>
      <c r="BA16" s="4"/>
      <c r="BB16" s="4"/>
      <c r="BC16" s="19">
        <v>1.129360065161076</v>
      </c>
      <c r="BD16" s="19">
        <v>512</v>
      </c>
      <c r="BE16" s="19">
        <v>0</v>
      </c>
      <c r="BF16" s="19">
        <v>12.381958449129071</v>
      </c>
      <c r="BG16" s="19">
        <v>7.7233791351318359E-2</v>
      </c>
      <c r="BH16" s="19">
        <v>8.035602979362011E-2</v>
      </c>
      <c r="BI16" s="19">
        <v>2</v>
      </c>
      <c r="BJ16" s="19">
        <v>2</v>
      </c>
      <c r="BK16" s="19">
        <v>3.2500692177563913E-2</v>
      </c>
      <c r="BL16" s="19">
        <v>1.7417687922716141E-4</v>
      </c>
      <c r="BM16" s="19">
        <v>1.8527531065046789E-3</v>
      </c>
      <c r="BN16" s="19">
        <v>512</v>
      </c>
      <c r="BO16" s="19">
        <v>3.2394415698945522E-2</v>
      </c>
      <c r="BP16" s="19">
        <v>1.867096871137619E-4</v>
      </c>
      <c r="BQ16" s="19">
        <v>5.8941268362104893E-3</v>
      </c>
      <c r="BR16" s="19">
        <v>512</v>
      </c>
      <c r="BS16" s="19">
        <v>0</v>
      </c>
      <c r="BT16" s="19">
        <v>0</v>
      </c>
      <c r="BU16" s="19">
        <v>5.9917778708040714E-3</v>
      </c>
      <c r="BV16" s="19">
        <v>512</v>
      </c>
      <c r="BW16" s="4"/>
      <c r="BX16" s="4"/>
      <c r="BY16" s="4"/>
      <c r="BZ16" s="4"/>
      <c r="CA16" s="4"/>
      <c r="CB16" s="4"/>
      <c r="CC16" s="19">
        <v>2</v>
      </c>
      <c r="CD16" s="19">
        <v>5</v>
      </c>
      <c r="CE16" s="4"/>
      <c r="CF16" s="4"/>
      <c r="CG16" s="4"/>
      <c r="CH16" s="4"/>
      <c r="CI16" s="4"/>
      <c r="CJ16" s="4"/>
      <c r="CK16" s="4"/>
      <c r="CL16" s="4"/>
      <c r="CM16" s="4"/>
      <c r="CN16" s="4"/>
      <c r="CO16" s="4"/>
      <c r="CP16" s="4"/>
      <c r="CQ16" s="4"/>
      <c r="CR16" s="4"/>
      <c r="CS16" s="4"/>
      <c r="CT16" s="4"/>
      <c r="CU16" s="4"/>
    </row>
    <row r="17" spans="1:99" x14ac:dyDescent="0.3">
      <c r="A17" s="4" t="s">
        <v>51</v>
      </c>
      <c r="B17" s="4" t="s">
        <v>425</v>
      </c>
      <c r="C17" s="4" t="s">
        <v>262</v>
      </c>
      <c r="D17" s="4" t="s">
        <v>47</v>
      </c>
      <c r="E17" s="4" t="s">
        <v>48</v>
      </c>
      <c r="F17" s="19">
        <v>2</v>
      </c>
      <c r="G17" s="19">
        <v>1</v>
      </c>
      <c r="H17" s="19">
        <v>2</v>
      </c>
      <c r="I17" s="19">
        <v>1</v>
      </c>
      <c r="J17" s="4" t="s">
        <v>521</v>
      </c>
      <c r="K17" s="4" t="s">
        <v>155</v>
      </c>
      <c r="L17" s="19">
        <v>45</v>
      </c>
      <c r="M17" s="19">
        <v>339</v>
      </c>
      <c r="N17" s="19">
        <v>0.1101354410666667</v>
      </c>
      <c r="O17" s="19">
        <v>0.1111518250666667</v>
      </c>
      <c r="P17" s="19">
        <v>33.294542379921587</v>
      </c>
      <c r="Q17" s="19">
        <v>16.64727118996079</v>
      </c>
      <c r="R17" s="19">
        <v>8.9967033775668526</v>
      </c>
      <c r="S17" s="19">
        <v>33.294542379921587</v>
      </c>
      <c r="T17" s="19">
        <v>8.9967033775668526</v>
      </c>
      <c r="U17" s="19">
        <v>8.1968212901129753</v>
      </c>
      <c r="V17" s="19">
        <v>0.1172466278076172</v>
      </c>
      <c r="W17" s="19">
        <v>0.1219446182250976</v>
      </c>
      <c r="X17" s="19">
        <v>0.1214563769225174</v>
      </c>
      <c r="Y17" s="19">
        <v>0.2453425625</v>
      </c>
      <c r="Z17" s="19">
        <v>47</v>
      </c>
      <c r="AA17" s="19">
        <v>0</v>
      </c>
      <c r="AB17" s="19">
        <v>0</v>
      </c>
      <c r="AC17" s="19">
        <v>0</v>
      </c>
      <c r="AD17" s="19">
        <v>0.2461911383727593</v>
      </c>
      <c r="AE17" s="19">
        <v>1.054833132405113</v>
      </c>
      <c r="AF17" s="4" t="s">
        <v>522</v>
      </c>
      <c r="AG17" s="19">
        <v>42</v>
      </c>
      <c r="AH17" s="19">
        <v>32</v>
      </c>
      <c r="AI17" s="19">
        <v>8</v>
      </c>
      <c r="AJ17" s="19">
        <v>5</v>
      </c>
      <c r="AK17" s="19">
        <v>500</v>
      </c>
      <c r="AL17" s="19">
        <v>2000</v>
      </c>
      <c r="AM17" s="4" t="s">
        <v>523</v>
      </c>
      <c r="AN17" s="19">
        <v>0</v>
      </c>
      <c r="AO17" s="19">
        <v>0</v>
      </c>
      <c r="AP17" s="19">
        <v>18.159458759413958</v>
      </c>
      <c r="AQ17" s="19">
        <v>18.159458759413958</v>
      </c>
      <c r="AR17" s="19">
        <v>1.016384E-3</v>
      </c>
      <c r="AS17" s="19">
        <v>0</v>
      </c>
      <c r="AT17" s="19">
        <v>9.0664198398590088</v>
      </c>
      <c r="AU17" s="19">
        <v>50.423915386199951</v>
      </c>
      <c r="AV17" s="19">
        <v>41.357495546340942</v>
      </c>
      <c r="AW17" s="19">
        <v>380</v>
      </c>
      <c r="AX17" s="19">
        <v>0.12984735012054441</v>
      </c>
      <c r="AY17" s="19">
        <v>48</v>
      </c>
      <c r="AZ17" s="19">
        <v>0</v>
      </c>
      <c r="BA17" s="4"/>
      <c r="BB17" s="4"/>
      <c r="BC17" s="19">
        <v>1.0927069964858449</v>
      </c>
      <c r="BD17" s="19">
        <v>339</v>
      </c>
      <c r="BE17" s="19">
        <v>0</v>
      </c>
      <c r="BF17" s="19">
        <v>8.1968212901129753</v>
      </c>
      <c r="BG17" s="19">
        <v>0.1172466278076172</v>
      </c>
      <c r="BH17" s="19">
        <v>0.1214563769225174</v>
      </c>
      <c r="BI17" s="19">
        <v>2</v>
      </c>
      <c r="BJ17" s="19">
        <v>2</v>
      </c>
      <c r="BK17" s="19">
        <v>3.3043829037376557E-2</v>
      </c>
      <c r="BL17" s="19">
        <v>1.8020998411825631E-4</v>
      </c>
      <c r="BM17" s="19">
        <v>3.7558409316701519E-3</v>
      </c>
      <c r="BN17" s="19">
        <v>339</v>
      </c>
      <c r="BO17" s="19">
        <v>3.1248087024970041E-2</v>
      </c>
      <c r="BP17" s="19">
        <v>1.908691935131332E-4</v>
      </c>
      <c r="BQ17" s="19">
        <v>2.6015625590771699E-2</v>
      </c>
      <c r="BR17" s="19">
        <v>339</v>
      </c>
      <c r="BS17" s="19">
        <v>0</v>
      </c>
      <c r="BT17" s="19">
        <v>0</v>
      </c>
      <c r="BU17" s="19">
        <v>2.598163160250954E-2</v>
      </c>
      <c r="BV17" s="19">
        <v>339</v>
      </c>
      <c r="BW17" s="4"/>
      <c r="BX17" s="4"/>
      <c r="BY17" s="4"/>
      <c r="BZ17" s="4"/>
      <c r="CA17" s="4"/>
      <c r="CB17" s="4"/>
      <c r="CC17" s="19">
        <v>2</v>
      </c>
      <c r="CD17" s="19">
        <v>25</v>
      </c>
      <c r="CE17" s="4"/>
      <c r="CF17" s="4"/>
      <c r="CG17" s="4"/>
      <c r="CH17" s="4"/>
      <c r="CI17" s="4"/>
      <c r="CJ17" s="4"/>
      <c r="CK17" s="4"/>
      <c r="CL17" s="4"/>
      <c r="CM17" s="4"/>
      <c r="CN17" s="4"/>
      <c r="CO17" s="4"/>
      <c r="CP17" s="4"/>
      <c r="CQ17" s="4"/>
      <c r="CR17" s="4"/>
      <c r="CS17" s="4"/>
      <c r="CT17" s="4"/>
      <c r="CU17" s="4"/>
    </row>
    <row r="18" spans="1:99" x14ac:dyDescent="0.3">
      <c r="A18" s="4" t="s">
        <v>51</v>
      </c>
      <c r="B18" s="4" t="s">
        <v>427</v>
      </c>
      <c r="C18" s="4" t="s">
        <v>263</v>
      </c>
      <c r="D18" s="4" t="s">
        <v>47</v>
      </c>
      <c r="E18" s="4" t="s">
        <v>48</v>
      </c>
      <c r="F18" s="19">
        <v>2</v>
      </c>
      <c r="G18" s="19">
        <v>1</v>
      </c>
      <c r="H18" s="19">
        <v>2</v>
      </c>
      <c r="I18" s="19">
        <v>1</v>
      </c>
      <c r="J18" s="4" t="s">
        <v>521</v>
      </c>
      <c r="K18" s="4" t="s">
        <v>155</v>
      </c>
      <c r="L18" s="19">
        <v>45</v>
      </c>
      <c r="M18" s="19">
        <v>239</v>
      </c>
      <c r="N18" s="19">
        <v>0.16013544106666669</v>
      </c>
      <c r="O18" s="19">
        <v>0.1611518250666667</v>
      </c>
      <c r="P18" s="19">
        <v>33.294542379921587</v>
      </c>
      <c r="Q18" s="19">
        <v>16.64727118996079</v>
      </c>
      <c r="R18" s="19">
        <v>6.2053284198693461</v>
      </c>
      <c r="S18" s="19">
        <v>33.294542379921587</v>
      </c>
      <c r="T18" s="19">
        <v>6.2053284198693461</v>
      </c>
      <c r="U18" s="19">
        <v>5.616093750458699</v>
      </c>
      <c r="V18" s="19">
        <v>0.16732048988342291</v>
      </c>
      <c r="W18" s="19">
        <v>0.17187557220458979</v>
      </c>
      <c r="X18" s="19">
        <v>0.17815776449865869</v>
      </c>
      <c r="Y18" s="19">
        <v>0.17329433333333341</v>
      </c>
      <c r="Z18" s="19">
        <v>33</v>
      </c>
      <c r="AA18" s="19">
        <v>0</v>
      </c>
      <c r="AB18" s="19">
        <v>0</v>
      </c>
      <c r="AC18" s="19">
        <v>0</v>
      </c>
      <c r="AD18" s="19">
        <v>0.16867910921777701</v>
      </c>
      <c r="AE18" s="19">
        <v>1.0382785911000649</v>
      </c>
      <c r="AF18" s="4" t="s">
        <v>522</v>
      </c>
      <c r="AG18" s="19">
        <v>42</v>
      </c>
      <c r="AH18" s="19">
        <v>32</v>
      </c>
      <c r="AI18" s="19">
        <v>8</v>
      </c>
      <c r="AJ18" s="19">
        <v>5</v>
      </c>
      <c r="AK18" s="19">
        <v>500</v>
      </c>
      <c r="AL18" s="19">
        <v>2000</v>
      </c>
      <c r="AM18" s="4" t="s">
        <v>523</v>
      </c>
      <c r="AN18" s="19">
        <v>0</v>
      </c>
      <c r="AO18" s="19">
        <v>0</v>
      </c>
      <c r="AP18" s="19">
        <v>12.48942761625999</v>
      </c>
      <c r="AQ18" s="19">
        <v>12.48942761625999</v>
      </c>
      <c r="AR18" s="19">
        <v>1.016384E-3</v>
      </c>
      <c r="AS18" s="19">
        <v>0</v>
      </c>
      <c r="AT18" s="19">
        <v>8.3589882850646973</v>
      </c>
      <c r="AU18" s="19">
        <v>50.915257930755622</v>
      </c>
      <c r="AV18" s="19">
        <v>42.556269645690918</v>
      </c>
      <c r="AW18" s="19">
        <v>267</v>
      </c>
      <c r="AX18" s="19">
        <v>0.78543211460113527</v>
      </c>
      <c r="AY18" s="19">
        <v>34</v>
      </c>
      <c r="AZ18" s="19">
        <v>0</v>
      </c>
      <c r="BA18" s="4"/>
      <c r="BB18" s="4"/>
      <c r="BC18" s="19">
        <v>1.1055274392639169</v>
      </c>
      <c r="BD18" s="19">
        <v>239</v>
      </c>
      <c r="BE18" s="19">
        <v>0</v>
      </c>
      <c r="BF18" s="19">
        <v>5.616093750458699</v>
      </c>
      <c r="BG18" s="19">
        <v>0.16732048988342291</v>
      </c>
      <c r="BH18" s="19">
        <v>0.17815776449865869</v>
      </c>
      <c r="BI18" s="19">
        <v>0</v>
      </c>
      <c r="BJ18" s="19">
        <v>2</v>
      </c>
      <c r="BK18" s="19">
        <v>3.3838080758808037E-2</v>
      </c>
      <c r="BL18" s="19">
        <v>1.8111797941832981E-4</v>
      </c>
      <c r="BM18" s="19">
        <v>1.8577876211214471E-3</v>
      </c>
      <c r="BN18" s="19">
        <v>238</v>
      </c>
      <c r="BO18" s="19">
        <v>3.3792523659422813E-2</v>
      </c>
      <c r="BP18" s="19">
        <v>1.9280182267831459E-4</v>
      </c>
      <c r="BQ18" s="19">
        <v>5.3607972595980977E-2</v>
      </c>
      <c r="BR18" s="19">
        <v>239</v>
      </c>
      <c r="BS18" s="19">
        <v>0</v>
      </c>
      <c r="BT18" s="19">
        <v>0</v>
      </c>
      <c r="BU18" s="19">
        <v>5.3580056673313288E-2</v>
      </c>
      <c r="BV18" s="19">
        <v>239</v>
      </c>
      <c r="BW18" s="4"/>
      <c r="BX18" s="4"/>
      <c r="BY18" s="4"/>
      <c r="BZ18" s="4"/>
      <c r="CA18" s="4"/>
      <c r="CB18" s="4"/>
      <c r="CC18" s="19">
        <v>2</v>
      </c>
      <c r="CD18" s="19">
        <v>50</v>
      </c>
      <c r="CE18" s="4"/>
      <c r="CF18" s="4"/>
      <c r="CG18" s="4"/>
      <c r="CH18" s="4"/>
      <c r="CI18" s="4"/>
      <c r="CJ18" s="4"/>
      <c r="CK18" s="4"/>
      <c r="CL18" s="4"/>
      <c r="CM18" s="4"/>
      <c r="CN18" s="4"/>
      <c r="CO18" s="4"/>
      <c r="CP18" s="4"/>
      <c r="CQ18" s="4"/>
      <c r="CR18" s="4"/>
      <c r="CS18" s="4"/>
      <c r="CT18" s="4"/>
      <c r="CU18" s="4"/>
    </row>
    <row r="19" spans="1:99" x14ac:dyDescent="0.3">
      <c r="A19" s="4" t="s">
        <v>51</v>
      </c>
      <c r="B19" s="4" t="s">
        <v>429</v>
      </c>
      <c r="C19" s="4" t="s">
        <v>264</v>
      </c>
      <c r="D19" s="4" t="s">
        <v>47</v>
      </c>
      <c r="E19" s="4" t="s">
        <v>48</v>
      </c>
      <c r="F19" s="19">
        <v>3</v>
      </c>
      <c r="G19" s="19">
        <v>1</v>
      </c>
      <c r="H19" s="19">
        <v>3</v>
      </c>
      <c r="I19" s="19">
        <v>1</v>
      </c>
      <c r="J19" s="4" t="s">
        <v>521</v>
      </c>
      <c r="K19" s="4" t="s">
        <v>155</v>
      </c>
      <c r="L19" s="19">
        <v>45</v>
      </c>
      <c r="M19" s="19">
        <v>545</v>
      </c>
      <c r="N19" s="19">
        <v>6.3168209066666661E-2</v>
      </c>
      <c r="O19" s="19">
        <v>6.4184593066666656E-2</v>
      </c>
      <c r="P19" s="19">
        <v>49.941813569882378</v>
      </c>
      <c r="Q19" s="19">
        <v>16.64727118996079</v>
      </c>
      <c r="R19" s="19">
        <v>15.58006294378667</v>
      </c>
      <c r="S19" s="19">
        <v>49.941813569882392</v>
      </c>
      <c r="T19" s="19">
        <v>15.58006294378667</v>
      </c>
      <c r="U19" s="19">
        <v>12.807065394392311</v>
      </c>
      <c r="V19" s="19">
        <v>7.2558879852294922E-2</v>
      </c>
      <c r="W19" s="19">
        <v>7.8476285934448234E-2</v>
      </c>
      <c r="X19" s="19">
        <v>7.7775210196818781E-2</v>
      </c>
      <c r="Y19" s="19">
        <v>0.26393815807560139</v>
      </c>
      <c r="Z19" s="19">
        <v>76</v>
      </c>
      <c r="AA19" s="19">
        <v>0</v>
      </c>
      <c r="AB19" s="19">
        <v>0</v>
      </c>
      <c r="AC19" s="19">
        <v>0</v>
      </c>
      <c r="AD19" s="19">
        <v>0.25643973414124588</v>
      </c>
      <c r="AE19" s="19">
        <v>1.1304719152294089</v>
      </c>
      <c r="AF19" s="4" t="s">
        <v>522</v>
      </c>
      <c r="AG19" s="19">
        <v>42</v>
      </c>
      <c r="AH19" s="19">
        <v>32</v>
      </c>
      <c r="AI19" s="19">
        <v>8</v>
      </c>
      <c r="AJ19" s="19">
        <v>5</v>
      </c>
      <c r="AK19" s="19">
        <v>500</v>
      </c>
      <c r="AL19" s="19">
        <v>2000</v>
      </c>
      <c r="AM19" s="4" t="s">
        <v>523</v>
      </c>
      <c r="AN19" s="19">
        <v>0</v>
      </c>
      <c r="AO19" s="19">
        <v>0</v>
      </c>
      <c r="AP19" s="19">
        <v>47.492244031073447</v>
      </c>
      <c r="AQ19" s="19">
        <v>47.492244031073447</v>
      </c>
      <c r="AR19" s="19">
        <v>1.016384E-3</v>
      </c>
      <c r="AS19" s="19">
        <v>0</v>
      </c>
      <c r="AT19" s="19">
        <v>9.1683127880096436</v>
      </c>
      <c r="AU19" s="19">
        <v>51.722948312759399</v>
      </c>
      <c r="AV19" s="19">
        <v>42.554635524749763</v>
      </c>
      <c r="AW19" s="19">
        <v>612</v>
      </c>
      <c r="AX19" s="19">
        <v>8.2603349685668945E-2</v>
      </c>
      <c r="AY19" s="19">
        <v>77</v>
      </c>
      <c r="AZ19" s="19">
        <v>0</v>
      </c>
      <c r="BA19" s="4"/>
      <c r="BB19" s="4"/>
      <c r="BC19" s="19">
        <v>1.211742670332675</v>
      </c>
      <c r="BD19" s="19">
        <v>545</v>
      </c>
      <c r="BE19" s="19">
        <v>0</v>
      </c>
      <c r="BF19" s="19">
        <v>12.807065394392311</v>
      </c>
      <c r="BG19" s="19">
        <v>7.2558879852294922E-2</v>
      </c>
      <c r="BH19" s="19">
        <v>7.7775210196818781E-2</v>
      </c>
      <c r="BI19" s="19">
        <v>4</v>
      </c>
      <c r="BJ19" s="19">
        <v>3</v>
      </c>
      <c r="BK19" s="19">
        <v>2.1123271907141451E-2</v>
      </c>
      <c r="BL19" s="19">
        <v>1.8843860801206821E-4</v>
      </c>
      <c r="BM19" s="19">
        <v>1.870349131592917E-3</v>
      </c>
      <c r="BN19" s="19">
        <v>545</v>
      </c>
      <c r="BO19" s="19">
        <v>2.3429478199110121E-2</v>
      </c>
      <c r="BP19" s="19">
        <v>1.8239983724891589E-4</v>
      </c>
      <c r="BQ19" s="19">
        <v>1.915562918426794E-3</v>
      </c>
      <c r="BR19" s="19">
        <v>545</v>
      </c>
      <c r="BS19" s="19">
        <v>2.1126995174162978E-2</v>
      </c>
      <c r="BT19" s="19">
        <v>1.8175720074854859E-4</v>
      </c>
      <c r="BU19" s="19">
        <v>4.2307805577549368E-3</v>
      </c>
      <c r="BV19" s="19">
        <v>545</v>
      </c>
      <c r="BW19" s="19">
        <v>0</v>
      </c>
      <c r="BX19" s="19">
        <v>0</v>
      </c>
      <c r="BY19" s="19">
        <v>1.935615014592442E-3</v>
      </c>
      <c r="BZ19" s="19">
        <v>545</v>
      </c>
      <c r="CA19" s="4"/>
      <c r="CB19" s="4"/>
      <c r="CC19" s="19">
        <v>3</v>
      </c>
      <c r="CD19" s="19">
        <v>1</v>
      </c>
      <c r="CE19" s="4"/>
      <c r="CF19" s="4"/>
      <c r="CG19" s="4"/>
      <c r="CH19" s="4"/>
      <c r="CI19" s="4"/>
      <c r="CJ19" s="4"/>
      <c r="CK19" s="4"/>
      <c r="CL19" s="4"/>
      <c r="CM19" s="4"/>
      <c r="CN19" s="4"/>
      <c r="CO19" s="4"/>
      <c r="CP19" s="4"/>
      <c r="CQ19" s="4"/>
      <c r="CR19" s="4"/>
      <c r="CS19" s="4"/>
      <c r="CT19" s="4"/>
      <c r="CU19" s="4"/>
    </row>
    <row r="20" spans="1:99" x14ac:dyDescent="0.3">
      <c r="A20" s="4" t="s">
        <v>51</v>
      </c>
      <c r="B20" s="4" t="s">
        <v>431</v>
      </c>
      <c r="C20" s="4" t="s">
        <v>265</v>
      </c>
      <c r="D20" s="4" t="s">
        <v>47</v>
      </c>
      <c r="E20" s="4" t="s">
        <v>48</v>
      </c>
      <c r="F20" s="19">
        <v>3</v>
      </c>
      <c r="G20" s="19">
        <v>1</v>
      </c>
      <c r="H20" s="19">
        <v>3</v>
      </c>
      <c r="I20" s="19">
        <v>1</v>
      </c>
      <c r="J20" s="4" t="s">
        <v>521</v>
      </c>
      <c r="K20" s="4" t="s">
        <v>155</v>
      </c>
      <c r="L20" s="19">
        <v>45</v>
      </c>
      <c r="M20" s="19">
        <v>471</v>
      </c>
      <c r="N20" s="19">
        <v>7.5168209066666658E-2</v>
      </c>
      <c r="O20" s="19">
        <v>7.6184593066666653E-2</v>
      </c>
      <c r="P20" s="19">
        <v>49.941813569882378</v>
      </c>
      <c r="Q20" s="19">
        <v>16.64727118996079</v>
      </c>
      <c r="R20" s="19">
        <v>13.12601353826137</v>
      </c>
      <c r="S20" s="19">
        <v>49.941813569882392</v>
      </c>
      <c r="T20" s="19">
        <v>13.12601353826137</v>
      </c>
      <c r="U20" s="19">
        <v>11.404675966531819</v>
      </c>
      <c r="V20" s="19">
        <v>8.4547042846679688E-2</v>
      </c>
      <c r="W20" s="19">
        <v>8.7400078773498535E-2</v>
      </c>
      <c r="X20" s="19">
        <v>8.7362488363958463E-2</v>
      </c>
      <c r="Y20" s="19">
        <v>0.22916735051546391</v>
      </c>
      <c r="Z20" s="19">
        <v>66</v>
      </c>
      <c r="AA20" s="19">
        <v>0</v>
      </c>
      <c r="AB20" s="19">
        <v>0</v>
      </c>
      <c r="AC20" s="19">
        <v>0</v>
      </c>
      <c r="AD20" s="19">
        <v>0.2283592675418871</v>
      </c>
      <c r="AE20" s="19">
        <v>1.109765629025482</v>
      </c>
      <c r="AF20" s="4" t="s">
        <v>522</v>
      </c>
      <c r="AG20" s="19">
        <v>42</v>
      </c>
      <c r="AH20" s="19">
        <v>32</v>
      </c>
      <c r="AI20" s="19">
        <v>8</v>
      </c>
      <c r="AJ20" s="19">
        <v>5</v>
      </c>
      <c r="AK20" s="19">
        <v>500</v>
      </c>
      <c r="AL20" s="19">
        <v>2000</v>
      </c>
      <c r="AM20" s="4" t="s">
        <v>523</v>
      </c>
      <c r="AN20" s="19">
        <v>0</v>
      </c>
      <c r="AO20" s="19">
        <v>0</v>
      </c>
      <c r="AP20" s="19">
        <v>39.910489251370898</v>
      </c>
      <c r="AQ20" s="19">
        <v>39.910489251370898</v>
      </c>
      <c r="AR20" s="19">
        <v>1.016384E-3</v>
      </c>
      <c r="AS20" s="19">
        <v>0</v>
      </c>
      <c r="AT20" s="19">
        <v>9.4731285572052002</v>
      </c>
      <c r="AU20" s="19">
        <v>50.771978378295898</v>
      </c>
      <c r="AV20" s="19">
        <v>41.298849821090698</v>
      </c>
      <c r="AW20" s="19">
        <v>529</v>
      </c>
      <c r="AX20" s="19">
        <v>9.0900421142578125E-2</v>
      </c>
      <c r="AY20" s="19">
        <v>67</v>
      </c>
      <c r="AZ20" s="19">
        <v>0</v>
      </c>
      <c r="BA20" s="4"/>
      <c r="BB20" s="4"/>
      <c r="BC20" s="19">
        <v>1.146721205001521</v>
      </c>
      <c r="BD20" s="19">
        <v>471</v>
      </c>
      <c r="BE20" s="19">
        <v>0</v>
      </c>
      <c r="BF20" s="19">
        <v>11.404675966531819</v>
      </c>
      <c r="BG20" s="19">
        <v>8.4547042846679688E-2</v>
      </c>
      <c r="BH20" s="19">
        <v>8.7362488363958463E-2</v>
      </c>
      <c r="BI20" s="19">
        <v>2</v>
      </c>
      <c r="BJ20" s="19">
        <v>3</v>
      </c>
      <c r="BK20" s="19">
        <v>2.1142526796668962E-2</v>
      </c>
      <c r="BL20" s="19">
        <v>1.8789712537372691E-4</v>
      </c>
      <c r="BM20" s="19">
        <v>1.865445681691423E-3</v>
      </c>
      <c r="BN20" s="19">
        <v>471</v>
      </c>
      <c r="BO20" s="19">
        <v>2.1137150483020041E-2</v>
      </c>
      <c r="BP20" s="19">
        <v>1.8826563646838921E-4</v>
      </c>
      <c r="BQ20" s="19">
        <v>5.9326120242951027E-3</v>
      </c>
      <c r="BR20" s="19">
        <v>471</v>
      </c>
      <c r="BS20" s="19">
        <v>2.2460354867761049E-2</v>
      </c>
      <c r="BT20" s="19">
        <v>1.8660328696994011E-4</v>
      </c>
      <c r="BU20" s="19">
        <v>7.2237741668765964E-3</v>
      </c>
      <c r="BV20" s="19">
        <v>471</v>
      </c>
      <c r="BW20" s="19">
        <v>0</v>
      </c>
      <c r="BX20" s="19">
        <v>0</v>
      </c>
      <c r="BY20" s="19">
        <v>5.9744243662321894E-3</v>
      </c>
      <c r="BZ20" s="19">
        <v>471</v>
      </c>
      <c r="CA20" s="4"/>
      <c r="CB20" s="4"/>
      <c r="CC20" s="19">
        <v>3</v>
      </c>
      <c r="CD20" s="19">
        <v>5</v>
      </c>
      <c r="CE20" s="4"/>
      <c r="CF20" s="4"/>
      <c r="CG20" s="4"/>
      <c r="CH20" s="4"/>
      <c r="CI20" s="4"/>
      <c r="CJ20" s="4"/>
      <c r="CK20" s="4"/>
      <c r="CL20" s="4"/>
      <c r="CM20" s="4"/>
      <c r="CN20" s="4"/>
      <c r="CO20" s="4"/>
      <c r="CP20" s="4"/>
      <c r="CQ20" s="4"/>
      <c r="CR20" s="4"/>
      <c r="CS20" s="4"/>
      <c r="CT20" s="4"/>
      <c r="CU20" s="4"/>
    </row>
    <row r="21" spans="1:99" x14ac:dyDescent="0.3">
      <c r="A21" s="4" t="s">
        <v>51</v>
      </c>
      <c r="B21" s="4" t="s">
        <v>433</v>
      </c>
      <c r="C21" s="4" t="s">
        <v>266</v>
      </c>
      <c r="D21" s="4" t="s">
        <v>47</v>
      </c>
      <c r="E21" s="4" t="s">
        <v>48</v>
      </c>
      <c r="F21" s="19">
        <v>3</v>
      </c>
      <c r="G21" s="19">
        <v>1</v>
      </c>
      <c r="H21" s="19">
        <v>3</v>
      </c>
      <c r="I21" s="19">
        <v>1</v>
      </c>
      <c r="J21" s="4" t="s">
        <v>521</v>
      </c>
      <c r="K21" s="4" t="s">
        <v>155</v>
      </c>
      <c r="L21" s="19">
        <v>45</v>
      </c>
      <c r="M21" s="19">
        <v>277</v>
      </c>
      <c r="N21" s="19">
        <v>0.13516820906666671</v>
      </c>
      <c r="O21" s="19">
        <v>0.13618459306666669</v>
      </c>
      <c r="P21" s="19">
        <v>49.941813569882378</v>
      </c>
      <c r="Q21" s="19">
        <v>16.64727118996079</v>
      </c>
      <c r="R21" s="19">
        <v>7.3429745427257576</v>
      </c>
      <c r="S21" s="19">
        <v>49.941813569882392</v>
      </c>
      <c r="T21" s="19">
        <v>7.3429745427257576</v>
      </c>
      <c r="U21" s="19">
        <v>6.6925287887004439</v>
      </c>
      <c r="V21" s="19">
        <v>0.1446840763092041</v>
      </c>
      <c r="W21" s="19">
        <v>0.14834380149841311</v>
      </c>
      <c r="X21" s="19">
        <v>0.14952055297603681</v>
      </c>
      <c r="Y21" s="19">
        <v>0.1343550277777778</v>
      </c>
      <c r="Z21" s="19">
        <v>38</v>
      </c>
      <c r="AA21" s="19">
        <v>0</v>
      </c>
      <c r="AB21" s="19">
        <v>0</v>
      </c>
      <c r="AC21" s="19">
        <v>0</v>
      </c>
      <c r="AD21" s="19">
        <v>0.13400652299772309</v>
      </c>
      <c r="AE21" s="19">
        <v>1.062411489076277</v>
      </c>
      <c r="AF21" s="4" t="s">
        <v>522</v>
      </c>
      <c r="AG21" s="19">
        <v>42</v>
      </c>
      <c r="AH21" s="19">
        <v>32</v>
      </c>
      <c r="AI21" s="19">
        <v>8</v>
      </c>
      <c r="AJ21" s="19">
        <v>5</v>
      </c>
      <c r="AK21" s="19">
        <v>500</v>
      </c>
      <c r="AL21" s="19">
        <v>2000</v>
      </c>
      <c r="AM21" s="4" t="s">
        <v>523</v>
      </c>
      <c r="AN21" s="19">
        <v>0</v>
      </c>
      <c r="AO21" s="19">
        <v>0</v>
      </c>
      <c r="AP21" s="19">
        <v>22.194567944007911</v>
      </c>
      <c r="AQ21" s="19">
        <v>22.194567944007911</v>
      </c>
      <c r="AR21" s="19">
        <v>1.016384E-3</v>
      </c>
      <c r="AS21" s="19">
        <v>0</v>
      </c>
      <c r="AT21" s="19">
        <v>9.1966118812561035</v>
      </c>
      <c r="AU21" s="19">
        <v>50.58604907989502</v>
      </c>
      <c r="AV21" s="19">
        <v>41.389437198638923</v>
      </c>
      <c r="AW21" s="19">
        <v>309</v>
      </c>
      <c r="AX21" s="19">
        <v>0.15127467155456539</v>
      </c>
      <c r="AY21" s="19">
        <v>39</v>
      </c>
      <c r="AZ21" s="19">
        <v>0</v>
      </c>
      <c r="BA21" s="4"/>
      <c r="BB21" s="4"/>
      <c r="BC21" s="19">
        <v>1.0979256141173159</v>
      </c>
      <c r="BD21" s="19">
        <v>277</v>
      </c>
      <c r="BE21" s="19">
        <v>0</v>
      </c>
      <c r="BF21" s="19">
        <v>6.6925287887004439</v>
      </c>
      <c r="BG21" s="19">
        <v>0.1446840763092041</v>
      </c>
      <c r="BH21" s="19">
        <v>0.14952055297603681</v>
      </c>
      <c r="BI21" s="19">
        <v>1</v>
      </c>
      <c r="BJ21" s="19">
        <v>3</v>
      </c>
      <c r="BK21" s="19">
        <v>2.1165158437645951E-2</v>
      </c>
      <c r="BL21" s="19">
        <v>1.862187316452248E-4</v>
      </c>
      <c r="BM21" s="19">
        <v>1.891410005265388E-3</v>
      </c>
      <c r="BN21" s="19">
        <v>276</v>
      </c>
      <c r="BO21" s="19">
        <v>2.1156422469926921E-2</v>
      </c>
      <c r="BP21" s="19">
        <v>1.9494606100994611E-4</v>
      </c>
      <c r="BQ21" s="19">
        <v>2.8242238189863121E-2</v>
      </c>
      <c r="BR21" s="19">
        <v>276</v>
      </c>
      <c r="BS21" s="19">
        <v>2.1158414627240451E-2</v>
      </c>
      <c r="BT21" s="19">
        <v>2.0211354059432819E-4</v>
      </c>
      <c r="BU21" s="19">
        <v>2.5922370731615421E-2</v>
      </c>
      <c r="BV21" s="19">
        <v>277</v>
      </c>
      <c r="BW21" s="19">
        <v>0</v>
      </c>
      <c r="BX21" s="19">
        <v>0</v>
      </c>
      <c r="BY21" s="19">
        <v>2.8251869153460011E-2</v>
      </c>
      <c r="BZ21" s="19">
        <v>277</v>
      </c>
      <c r="CA21" s="4"/>
      <c r="CB21" s="4"/>
      <c r="CC21" s="19">
        <v>3</v>
      </c>
      <c r="CD21" s="19">
        <v>25</v>
      </c>
      <c r="CE21" s="4"/>
      <c r="CF21" s="4"/>
      <c r="CG21" s="4"/>
      <c r="CH21" s="4"/>
      <c r="CI21" s="4"/>
      <c r="CJ21" s="4"/>
      <c r="CK21" s="4"/>
      <c r="CL21" s="4"/>
      <c r="CM21" s="4"/>
      <c r="CN21" s="4"/>
      <c r="CO21" s="4"/>
      <c r="CP21" s="4"/>
      <c r="CQ21" s="4"/>
      <c r="CR21" s="4"/>
      <c r="CS21" s="4"/>
      <c r="CT21" s="4"/>
      <c r="CU21" s="4"/>
    </row>
    <row r="22" spans="1:99" x14ac:dyDescent="0.3">
      <c r="A22" s="4" t="s">
        <v>51</v>
      </c>
      <c r="B22" s="4" t="s">
        <v>435</v>
      </c>
      <c r="C22" s="4" t="s">
        <v>267</v>
      </c>
      <c r="D22" s="4" t="s">
        <v>47</v>
      </c>
      <c r="E22" s="4" t="s">
        <v>48</v>
      </c>
      <c r="F22" s="19">
        <v>3</v>
      </c>
      <c r="G22" s="19">
        <v>1</v>
      </c>
      <c r="H22" s="19">
        <v>3</v>
      </c>
      <c r="I22" s="19">
        <v>1</v>
      </c>
      <c r="J22" s="4" t="s">
        <v>521</v>
      </c>
      <c r="K22" s="4" t="s">
        <v>155</v>
      </c>
      <c r="L22" s="19">
        <v>45</v>
      </c>
      <c r="M22" s="19">
        <v>182</v>
      </c>
      <c r="N22" s="19">
        <v>0.21016820906666669</v>
      </c>
      <c r="O22" s="19">
        <v>0.2111845930666667</v>
      </c>
      <c r="P22" s="19">
        <v>49.941813569882378</v>
      </c>
      <c r="Q22" s="19">
        <v>16.64727118996079</v>
      </c>
      <c r="R22" s="19">
        <v>4.7351939148530624</v>
      </c>
      <c r="S22" s="19">
        <v>49.941813569882392</v>
      </c>
      <c r="T22" s="19">
        <v>4.7351939148530624</v>
      </c>
      <c r="U22" s="19">
        <v>4.4129963122886791</v>
      </c>
      <c r="V22" s="19">
        <v>0.21973299980163569</v>
      </c>
      <c r="W22" s="19">
        <v>0.22101435661315921</v>
      </c>
      <c r="X22" s="19">
        <v>0.22653985809493851</v>
      </c>
      <c r="Y22" s="19">
        <v>8.6986810996563566E-2</v>
      </c>
      <c r="Z22" s="19">
        <v>25</v>
      </c>
      <c r="AA22" s="19">
        <v>0</v>
      </c>
      <c r="AB22" s="19">
        <v>1</v>
      </c>
      <c r="AC22" s="19">
        <v>0</v>
      </c>
      <c r="AD22" s="19">
        <v>8.8362756512910354E-2</v>
      </c>
      <c r="AE22" s="19">
        <v>1.040478363553115</v>
      </c>
      <c r="AF22" s="4" t="s">
        <v>522</v>
      </c>
      <c r="AG22" s="19">
        <v>42</v>
      </c>
      <c r="AH22" s="19">
        <v>32</v>
      </c>
      <c r="AI22" s="19">
        <v>8</v>
      </c>
      <c r="AJ22" s="19">
        <v>5</v>
      </c>
      <c r="AK22" s="19">
        <v>500</v>
      </c>
      <c r="AL22" s="19">
        <v>2000</v>
      </c>
      <c r="AM22" s="4" t="s">
        <v>523</v>
      </c>
      <c r="AN22" s="19">
        <v>0</v>
      </c>
      <c r="AO22" s="19">
        <v>0</v>
      </c>
      <c r="AP22" s="19">
        <v>14.2742806503546</v>
      </c>
      <c r="AQ22" s="19">
        <v>14.2742806503546</v>
      </c>
      <c r="AR22" s="19">
        <v>1.016384E-3</v>
      </c>
      <c r="AS22" s="19">
        <v>0</v>
      </c>
      <c r="AT22" s="19">
        <v>10.391805648803709</v>
      </c>
      <c r="AU22" s="19">
        <v>51.633625745773323</v>
      </c>
      <c r="AV22" s="19">
        <v>41.241820096969597</v>
      </c>
      <c r="AW22" s="19">
        <v>202</v>
      </c>
      <c r="AX22" s="19">
        <v>0.22586895227432249</v>
      </c>
      <c r="AY22" s="19">
        <v>26</v>
      </c>
      <c r="AZ22" s="19">
        <v>0</v>
      </c>
      <c r="BA22" s="4"/>
      <c r="BB22" s="4"/>
      <c r="BC22" s="19">
        <v>1.0727101575228291</v>
      </c>
      <c r="BD22" s="19">
        <v>182</v>
      </c>
      <c r="BE22" s="19">
        <v>0</v>
      </c>
      <c r="BF22" s="19">
        <v>4.4129963122886791</v>
      </c>
      <c r="BG22" s="19">
        <v>0.21973299980163569</v>
      </c>
      <c r="BH22" s="19">
        <v>0.22653985809493851</v>
      </c>
      <c r="BI22" s="19">
        <v>1</v>
      </c>
      <c r="BJ22" s="19">
        <v>3</v>
      </c>
      <c r="BK22" s="19">
        <v>2.1179315808055169E-2</v>
      </c>
      <c r="BL22" s="19">
        <v>1.78851924099765E-4</v>
      </c>
      <c r="BM22" s="19">
        <v>1.857942277258569E-3</v>
      </c>
      <c r="BN22" s="19">
        <v>182</v>
      </c>
      <c r="BO22" s="19">
        <v>2.1105073310516691E-2</v>
      </c>
      <c r="BP22" s="19">
        <v>1.9913453322190509E-4</v>
      </c>
      <c r="BQ22" s="19">
        <v>5.0972527200049099E-2</v>
      </c>
      <c r="BR22" s="19">
        <v>182</v>
      </c>
      <c r="BS22" s="19">
        <v>2.1130318170065408E-2</v>
      </c>
      <c r="BT22" s="19">
        <v>2.2564484522892881E-4</v>
      </c>
      <c r="BU22" s="19">
        <v>5.4325872725182828E-2</v>
      </c>
      <c r="BV22" s="19">
        <v>182</v>
      </c>
      <c r="BW22" s="19">
        <v>0</v>
      </c>
      <c r="BX22" s="19">
        <v>0</v>
      </c>
      <c r="BY22" s="19">
        <v>5.4495440734611759E-2</v>
      </c>
      <c r="BZ22" s="19">
        <v>182</v>
      </c>
      <c r="CA22" s="4"/>
      <c r="CB22" s="4"/>
      <c r="CC22" s="19">
        <v>3</v>
      </c>
      <c r="CD22" s="19">
        <v>50</v>
      </c>
      <c r="CE22" s="4"/>
      <c r="CF22" s="4"/>
      <c r="CG22" s="4"/>
      <c r="CH22" s="4"/>
      <c r="CI22" s="4"/>
      <c r="CJ22" s="4"/>
      <c r="CK22" s="4"/>
      <c r="CL22" s="4"/>
      <c r="CM22" s="4"/>
      <c r="CN22" s="4"/>
      <c r="CO22" s="4"/>
      <c r="CP22" s="4"/>
      <c r="CQ22" s="4"/>
      <c r="CR22" s="4"/>
      <c r="CS22" s="4"/>
      <c r="CT22" s="4"/>
      <c r="CU22" s="4"/>
    </row>
    <row r="23" spans="1:99" x14ac:dyDescent="0.3">
      <c r="A23" s="4" t="s">
        <v>51</v>
      </c>
      <c r="B23" s="4" t="s">
        <v>437</v>
      </c>
      <c r="C23" s="4" t="s">
        <v>268</v>
      </c>
      <c r="D23" s="4" t="s">
        <v>47</v>
      </c>
      <c r="E23" s="4" t="s">
        <v>48</v>
      </c>
      <c r="F23" s="19">
        <v>4</v>
      </c>
      <c r="G23" s="19">
        <v>1</v>
      </c>
      <c r="H23" s="19">
        <v>4</v>
      </c>
      <c r="I23" s="19">
        <v>1</v>
      </c>
      <c r="J23" s="4" t="s">
        <v>521</v>
      </c>
      <c r="K23" s="4" t="s">
        <v>155</v>
      </c>
      <c r="L23" s="19">
        <v>45</v>
      </c>
      <c r="M23" s="19">
        <v>541</v>
      </c>
      <c r="N23" s="19">
        <v>6.4200977066666665E-2</v>
      </c>
      <c r="O23" s="19">
        <v>6.521736106666666E-2</v>
      </c>
      <c r="P23" s="19">
        <v>66.589084759843175</v>
      </c>
      <c r="Q23" s="19">
        <v>16.64727118996079</v>
      </c>
      <c r="R23" s="19">
        <v>15.333340442551449</v>
      </c>
      <c r="S23" s="19">
        <v>66.589084759843189</v>
      </c>
      <c r="T23" s="19">
        <v>15.333340442551449</v>
      </c>
      <c r="U23" s="19">
        <v>12.717201867115071</v>
      </c>
      <c r="V23" s="19">
        <v>7.5415849685668945E-2</v>
      </c>
      <c r="W23" s="19">
        <v>8.1269741058349609E-2</v>
      </c>
      <c r="X23" s="19">
        <v>7.8182075468757897E-2</v>
      </c>
      <c r="Y23" s="19">
        <v>0.1951155974025974</v>
      </c>
      <c r="Z23" s="19">
        <v>73</v>
      </c>
      <c r="AA23" s="19">
        <v>0</v>
      </c>
      <c r="AB23" s="19">
        <v>0</v>
      </c>
      <c r="AC23" s="19">
        <v>0</v>
      </c>
      <c r="AD23" s="19">
        <v>0.19098027721780961</v>
      </c>
      <c r="AE23" s="19">
        <v>1.156376897994648</v>
      </c>
      <c r="AF23" s="4" t="s">
        <v>522</v>
      </c>
      <c r="AG23" s="19">
        <v>42</v>
      </c>
      <c r="AH23" s="19">
        <v>32</v>
      </c>
      <c r="AI23" s="19">
        <v>8</v>
      </c>
      <c r="AJ23" s="19">
        <v>5</v>
      </c>
      <c r="AK23" s="19">
        <v>500</v>
      </c>
      <c r="AL23" s="19">
        <v>2000</v>
      </c>
      <c r="AM23" s="4" t="s">
        <v>523</v>
      </c>
      <c r="AN23" s="19">
        <v>0</v>
      </c>
      <c r="AO23" s="19">
        <v>0</v>
      </c>
      <c r="AP23" s="19">
        <v>62.304347733623693</v>
      </c>
      <c r="AQ23" s="19">
        <v>62.304347733623693</v>
      </c>
      <c r="AR23" s="19">
        <v>1.016384E-3</v>
      </c>
      <c r="AS23" s="19">
        <v>0</v>
      </c>
      <c r="AT23" s="19">
        <v>8.866727352142334</v>
      </c>
      <c r="AU23" s="19">
        <v>51.407531976699829</v>
      </c>
      <c r="AV23" s="19">
        <v>42.540804624557502</v>
      </c>
      <c r="AW23" s="19">
        <v>590</v>
      </c>
      <c r="AX23" s="19">
        <v>8.776459693908692E-2</v>
      </c>
      <c r="AY23" s="19">
        <v>74</v>
      </c>
      <c r="AZ23" s="19">
        <v>0</v>
      </c>
      <c r="BA23" s="4"/>
      <c r="BB23" s="4"/>
      <c r="BC23" s="19">
        <v>1.1987923796677149</v>
      </c>
      <c r="BD23" s="19">
        <v>541</v>
      </c>
      <c r="BE23" s="19">
        <v>0</v>
      </c>
      <c r="BF23" s="19">
        <v>12.717201867115071</v>
      </c>
      <c r="BG23" s="19">
        <v>7.5415849685668945E-2</v>
      </c>
      <c r="BH23" s="19">
        <v>7.8182075468757897E-2</v>
      </c>
      <c r="BI23" s="19">
        <v>2</v>
      </c>
      <c r="BJ23" s="19">
        <v>4</v>
      </c>
      <c r="BK23" s="19">
        <v>1.7128744759973891E-2</v>
      </c>
      <c r="BL23" s="19">
        <v>1.8058246252937809E-4</v>
      </c>
      <c r="BM23" s="19">
        <v>1.868140895794148E-3</v>
      </c>
      <c r="BN23" s="19">
        <v>541</v>
      </c>
      <c r="BO23" s="19">
        <v>1.5866333367423519E-2</v>
      </c>
      <c r="BP23" s="19">
        <v>1.7633764228186191E-4</v>
      </c>
      <c r="BQ23" s="19">
        <v>1.878551105915288E-3</v>
      </c>
      <c r="BR23" s="19">
        <v>541</v>
      </c>
      <c r="BS23" s="19">
        <v>1.7065169850911759E-2</v>
      </c>
      <c r="BT23" s="19">
        <v>1.8046259219016249E-4</v>
      </c>
      <c r="BU23" s="19">
        <v>1.9008959066845791E-3</v>
      </c>
      <c r="BV23" s="19">
        <v>541</v>
      </c>
      <c r="BW23" s="19">
        <v>1.586178226083132E-2</v>
      </c>
      <c r="BX23" s="19">
        <v>1.7839086254070521E-4</v>
      </c>
      <c r="BY23" s="19">
        <v>1.8932211200763469E-3</v>
      </c>
      <c r="BZ23" s="19">
        <v>541</v>
      </c>
      <c r="CA23" s="4"/>
      <c r="CB23" s="4"/>
      <c r="CC23" s="19">
        <v>4</v>
      </c>
      <c r="CD23" s="19">
        <v>1</v>
      </c>
      <c r="CE23" s="19">
        <v>0</v>
      </c>
      <c r="CF23" s="19">
        <v>0</v>
      </c>
      <c r="CG23" s="19">
        <v>1.92642784823772E-3</v>
      </c>
      <c r="CH23" s="19">
        <v>541</v>
      </c>
      <c r="CI23" s="4"/>
      <c r="CJ23" s="4"/>
      <c r="CK23" s="4"/>
      <c r="CL23" s="4"/>
      <c r="CM23" s="4"/>
      <c r="CN23" s="4"/>
      <c r="CO23" s="4"/>
      <c r="CP23" s="4"/>
      <c r="CQ23" s="4"/>
      <c r="CR23" s="4"/>
      <c r="CS23" s="4"/>
      <c r="CT23" s="4"/>
      <c r="CU23" s="4"/>
    </row>
    <row r="24" spans="1:99" x14ac:dyDescent="0.3">
      <c r="A24" s="4" t="s">
        <v>51</v>
      </c>
      <c r="B24" s="4" t="s">
        <v>439</v>
      </c>
      <c r="C24" s="4" t="s">
        <v>269</v>
      </c>
      <c r="D24" s="4" t="s">
        <v>47</v>
      </c>
      <c r="E24" s="4" t="s">
        <v>48</v>
      </c>
      <c r="F24" s="19">
        <v>4</v>
      </c>
      <c r="G24" s="19">
        <v>1</v>
      </c>
      <c r="H24" s="19">
        <v>4</v>
      </c>
      <c r="I24" s="19">
        <v>1</v>
      </c>
      <c r="J24" s="4" t="s">
        <v>521</v>
      </c>
      <c r="K24" s="4" t="s">
        <v>155</v>
      </c>
      <c r="L24" s="19">
        <v>45</v>
      </c>
      <c r="M24" s="19">
        <v>439</v>
      </c>
      <c r="N24" s="19">
        <v>8.0200977066666665E-2</v>
      </c>
      <c r="O24" s="19">
        <v>8.121736106666666E-2</v>
      </c>
      <c r="P24" s="19">
        <v>66.589084759843175</v>
      </c>
      <c r="Q24" s="19">
        <v>16.64727118996079</v>
      </c>
      <c r="R24" s="19">
        <v>12.3126384170394</v>
      </c>
      <c r="S24" s="19">
        <v>66.589084759843189</v>
      </c>
      <c r="T24" s="19">
        <v>12.3126384170394</v>
      </c>
      <c r="U24" s="19">
        <v>10.31718934688838</v>
      </c>
      <c r="V24" s="19">
        <v>9.0736865997314453E-2</v>
      </c>
      <c r="W24" s="19">
        <v>9.4383883476257327E-2</v>
      </c>
      <c r="X24" s="19">
        <v>9.6541331949429529E-2</v>
      </c>
      <c r="Y24" s="19">
        <v>0.16347958072916671</v>
      </c>
      <c r="Z24" s="19">
        <v>61</v>
      </c>
      <c r="AA24" s="19">
        <v>0</v>
      </c>
      <c r="AB24" s="19">
        <v>0</v>
      </c>
      <c r="AC24" s="19">
        <v>0</v>
      </c>
      <c r="AD24" s="19">
        <v>0.15493814615560239</v>
      </c>
      <c r="AE24" s="19">
        <v>1.11721022212029</v>
      </c>
      <c r="AF24" s="4" t="s">
        <v>522</v>
      </c>
      <c r="AG24" s="19">
        <v>42</v>
      </c>
      <c r="AH24" s="19">
        <v>32</v>
      </c>
      <c r="AI24" s="19">
        <v>8</v>
      </c>
      <c r="AJ24" s="19">
        <v>5</v>
      </c>
      <c r="AK24" s="19">
        <v>500</v>
      </c>
      <c r="AL24" s="19">
        <v>2000</v>
      </c>
      <c r="AM24" s="4" t="s">
        <v>523</v>
      </c>
      <c r="AN24" s="19">
        <v>0</v>
      </c>
      <c r="AO24" s="19">
        <v>0</v>
      </c>
      <c r="AP24" s="19">
        <v>49.874704103355498</v>
      </c>
      <c r="AQ24" s="19">
        <v>49.874704103355498</v>
      </c>
      <c r="AR24" s="19">
        <v>1.016384E-3</v>
      </c>
      <c r="AS24" s="19">
        <v>0</v>
      </c>
      <c r="AT24" s="19">
        <v>8.6590588092803955</v>
      </c>
      <c r="AU24" s="19">
        <v>51.209407091140747</v>
      </c>
      <c r="AV24" s="19">
        <v>42.550348281860352</v>
      </c>
      <c r="AW24" s="19">
        <v>493</v>
      </c>
      <c r="AX24" s="19">
        <v>0.10236819744110109</v>
      </c>
      <c r="AY24" s="19">
        <v>62</v>
      </c>
      <c r="AZ24" s="19">
        <v>0</v>
      </c>
      <c r="BA24" s="4"/>
      <c r="BB24" s="4"/>
      <c r="BC24" s="19">
        <v>1.1886785125926991</v>
      </c>
      <c r="BD24" s="19">
        <v>439</v>
      </c>
      <c r="BE24" s="19">
        <v>0</v>
      </c>
      <c r="BF24" s="19">
        <v>10.31718934688838</v>
      </c>
      <c r="BG24" s="19">
        <v>9.0736865997314453E-2</v>
      </c>
      <c r="BH24" s="19">
        <v>9.6541331949429529E-2</v>
      </c>
      <c r="BI24" s="19">
        <v>4</v>
      </c>
      <c r="BJ24" s="19">
        <v>4</v>
      </c>
      <c r="BK24" s="19">
        <v>1.5894410822005909E-2</v>
      </c>
      <c r="BL24" s="19">
        <v>1.7702063558313461E-4</v>
      </c>
      <c r="BM24" s="19">
        <v>1.859777880692536E-3</v>
      </c>
      <c r="BN24" s="19">
        <v>439</v>
      </c>
      <c r="BO24" s="19">
        <v>1.5838231475586769E-2</v>
      </c>
      <c r="BP24" s="19">
        <v>1.8185309234132531E-4</v>
      </c>
      <c r="BQ24" s="19">
        <v>5.8824576115010813E-3</v>
      </c>
      <c r="BR24" s="19">
        <v>439</v>
      </c>
      <c r="BS24" s="19">
        <v>2.147901574136999E-2</v>
      </c>
      <c r="BT24" s="19">
        <v>1.8904909729142939E-4</v>
      </c>
      <c r="BU24" s="19">
        <v>5.8887580532690931E-3</v>
      </c>
      <c r="BV24" s="19">
        <v>439</v>
      </c>
      <c r="BW24" s="19">
        <v>1.5869740201563391E-2</v>
      </c>
      <c r="BX24" s="19">
        <v>1.8828441993522211E-4</v>
      </c>
      <c r="BY24" s="19">
        <v>5.8987184103094633E-3</v>
      </c>
      <c r="BZ24" s="19">
        <v>439</v>
      </c>
      <c r="CA24" s="4"/>
      <c r="CB24" s="4"/>
      <c r="CC24" s="19">
        <v>4</v>
      </c>
      <c r="CD24" s="19">
        <v>5</v>
      </c>
      <c r="CE24" s="19">
        <v>0</v>
      </c>
      <c r="CF24" s="19">
        <v>0</v>
      </c>
      <c r="CG24" s="19">
        <v>5.9383567210482026E-3</v>
      </c>
      <c r="CH24" s="19">
        <v>439</v>
      </c>
      <c r="CI24" s="4"/>
      <c r="CJ24" s="4"/>
      <c r="CK24" s="4"/>
      <c r="CL24" s="4"/>
      <c r="CM24" s="4"/>
      <c r="CN24" s="4"/>
      <c r="CO24" s="4"/>
      <c r="CP24" s="4"/>
      <c r="CQ24" s="4"/>
      <c r="CR24" s="4"/>
      <c r="CS24" s="4"/>
      <c r="CT24" s="4"/>
      <c r="CU24" s="4"/>
    </row>
    <row r="25" spans="1:99" x14ac:dyDescent="0.3">
      <c r="A25" s="4" t="s">
        <v>51</v>
      </c>
      <c r="B25" s="4" t="s">
        <v>441</v>
      </c>
      <c r="C25" s="4" t="s">
        <v>270</v>
      </c>
      <c r="D25" s="4" t="s">
        <v>47</v>
      </c>
      <c r="E25" s="4" t="s">
        <v>48</v>
      </c>
      <c r="F25" s="19">
        <v>4</v>
      </c>
      <c r="G25" s="19">
        <v>1</v>
      </c>
      <c r="H25" s="19">
        <v>4</v>
      </c>
      <c r="I25" s="19">
        <v>1</v>
      </c>
      <c r="J25" s="4" t="s">
        <v>521</v>
      </c>
      <c r="K25" s="4" t="s">
        <v>155</v>
      </c>
      <c r="L25" s="19">
        <v>45</v>
      </c>
      <c r="M25" s="19">
        <v>235</v>
      </c>
      <c r="N25" s="19">
        <v>0.16020097706666669</v>
      </c>
      <c r="O25" s="19">
        <v>0.1612173610666667</v>
      </c>
      <c r="P25" s="19">
        <v>66.589084759843175</v>
      </c>
      <c r="Q25" s="19">
        <v>16.64727118996079</v>
      </c>
      <c r="R25" s="19">
        <v>6.2028059098826187</v>
      </c>
      <c r="S25" s="19">
        <v>66.589084759843189</v>
      </c>
      <c r="T25" s="19">
        <v>6.2028059098826187</v>
      </c>
      <c r="U25" s="19">
        <v>5.5106450264706641</v>
      </c>
      <c r="V25" s="19">
        <v>0.17083573341369629</v>
      </c>
      <c r="W25" s="19">
        <v>0.17579519748687741</v>
      </c>
      <c r="X25" s="19">
        <v>0.1814792551892869</v>
      </c>
      <c r="Y25" s="19">
        <v>8.5394830729166663E-2</v>
      </c>
      <c r="Z25" s="19">
        <v>32</v>
      </c>
      <c r="AA25" s="19">
        <v>0</v>
      </c>
      <c r="AB25" s="19">
        <v>0</v>
      </c>
      <c r="AC25" s="19">
        <v>0</v>
      </c>
      <c r="AD25" s="19">
        <v>8.2755980899047912E-2</v>
      </c>
      <c r="AE25" s="19">
        <v>1.0596608968376069</v>
      </c>
      <c r="AF25" s="4" t="s">
        <v>522</v>
      </c>
      <c r="AG25" s="19">
        <v>42</v>
      </c>
      <c r="AH25" s="19">
        <v>32</v>
      </c>
      <c r="AI25" s="19">
        <v>8</v>
      </c>
      <c r="AJ25" s="19">
        <v>5</v>
      </c>
      <c r="AK25" s="19">
        <v>500</v>
      </c>
      <c r="AL25" s="19">
        <v>2000</v>
      </c>
      <c r="AM25" s="4" t="s">
        <v>523</v>
      </c>
      <c r="AN25" s="19">
        <v>0</v>
      </c>
      <c r="AO25" s="19">
        <v>0</v>
      </c>
      <c r="AP25" s="19">
        <v>24.968636728947189</v>
      </c>
      <c r="AQ25" s="19">
        <v>24.968636728947189</v>
      </c>
      <c r="AR25" s="19">
        <v>1.016384E-3</v>
      </c>
      <c r="AS25" s="19">
        <v>0</v>
      </c>
      <c r="AT25" s="19">
        <v>9.0899717807769775</v>
      </c>
      <c r="AU25" s="19">
        <v>51.734707355499268</v>
      </c>
      <c r="AV25" s="19">
        <v>42.64473557472229</v>
      </c>
      <c r="AW25" s="19">
        <v>262</v>
      </c>
      <c r="AX25" s="19">
        <v>0.5865548801422098</v>
      </c>
      <c r="AY25" s="19">
        <v>33</v>
      </c>
      <c r="AZ25" s="19">
        <v>0</v>
      </c>
      <c r="BA25" s="4"/>
      <c r="BB25" s="4"/>
      <c r="BC25" s="19">
        <v>1.1256805966092041</v>
      </c>
      <c r="BD25" s="19">
        <v>235</v>
      </c>
      <c r="BE25" s="19">
        <v>0</v>
      </c>
      <c r="BF25" s="19">
        <v>5.5106450264706641</v>
      </c>
      <c r="BG25" s="19">
        <v>0.17083573341369629</v>
      </c>
      <c r="BH25" s="19">
        <v>0.1814792551892869</v>
      </c>
      <c r="BI25" s="19">
        <v>1</v>
      </c>
      <c r="BJ25" s="19">
        <v>4</v>
      </c>
      <c r="BK25" s="19">
        <v>1.599384368734157E-2</v>
      </c>
      <c r="BL25" s="19">
        <v>1.8865301253947811E-4</v>
      </c>
      <c r="BM25" s="19">
        <v>1.876887869327626E-3</v>
      </c>
      <c r="BN25" s="19">
        <v>235</v>
      </c>
      <c r="BO25" s="19">
        <v>1.8435747065442671E-2</v>
      </c>
      <c r="BP25" s="19">
        <v>1.9263916827262721E-4</v>
      </c>
      <c r="BQ25" s="19">
        <v>2.5979994712991918E-2</v>
      </c>
      <c r="BR25" s="19">
        <v>235</v>
      </c>
      <c r="BS25" s="19">
        <v>1.5780854732432261E-2</v>
      </c>
      <c r="BT25" s="19">
        <v>2.17832402980074E-4</v>
      </c>
      <c r="BU25" s="19">
        <v>2.5917886165862391E-2</v>
      </c>
      <c r="BV25" s="19">
        <v>235</v>
      </c>
      <c r="BW25" s="19">
        <v>1.5747143359894449E-2</v>
      </c>
      <c r="BX25" s="19">
        <v>2.0252491565460849E-4</v>
      </c>
      <c r="BY25" s="19">
        <v>2.8597145892204121E-2</v>
      </c>
      <c r="BZ25" s="19">
        <v>235</v>
      </c>
      <c r="CA25" s="4"/>
      <c r="CB25" s="4"/>
      <c r="CC25" s="19">
        <v>4</v>
      </c>
      <c r="CD25" s="19">
        <v>25</v>
      </c>
      <c r="CE25" s="19">
        <v>0</v>
      </c>
      <c r="CF25" s="19">
        <v>0</v>
      </c>
      <c r="CG25" s="19">
        <v>3.1287061407210978E-2</v>
      </c>
      <c r="CH25" s="19">
        <v>235</v>
      </c>
      <c r="CI25" s="4"/>
      <c r="CJ25" s="4"/>
      <c r="CK25" s="4"/>
      <c r="CL25" s="4"/>
      <c r="CM25" s="4"/>
      <c r="CN25" s="4"/>
      <c r="CO25" s="4"/>
      <c r="CP25" s="4"/>
      <c r="CQ25" s="4"/>
      <c r="CR25" s="4"/>
      <c r="CS25" s="4"/>
      <c r="CT25" s="4"/>
      <c r="CU25" s="4"/>
    </row>
    <row r="26" spans="1:99" x14ac:dyDescent="0.3">
      <c r="A26" s="4" t="s">
        <v>51</v>
      </c>
      <c r="B26" s="4" t="s">
        <v>443</v>
      </c>
      <c r="C26" s="4" t="s">
        <v>271</v>
      </c>
      <c r="D26" s="4" t="s">
        <v>47</v>
      </c>
      <c r="E26" s="4" t="s">
        <v>48</v>
      </c>
      <c r="F26" s="19">
        <v>4</v>
      </c>
      <c r="G26" s="19">
        <v>1</v>
      </c>
      <c r="H26" s="19">
        <v>4</v>
      </c>
      <c r="I26" s="19">
        <v>1</v>
      </c>
      <c r="J26" s="4" t="s">
        <v>521</v>
      </c>
      <c r="K26" s="4" t="s">
        <v>155</v>
      </c>
      <c r="L26" s="19">
        <v>45</v>
      </c>
      <c r="M26" s="19">
        <v>149</v>
      </c>
      <c r="N26" s="19">
        <v>0.26020097706666673</v>
      </c>
      <c r="O26" s="19">
        <v>0.26121736106666671</v>
      </c>
      <c r="P26" s="19">
        <v>66.589084759843175</v>
      </c>
      <c r="Q26" s="19">
        <v>16.64727118996079</v>
      </c>
      <c r="R26" s="19">
        <v>3.8282294711061899</v>
      </c>
      <c r="S26" s="19">
        <v>66.589084759843189</v>
      </c>
      <c r="T26" s="19">
        <v>3.8282294711061899</v>
      </c>
      <c r="U26" s="19">
        <v>3.5987582291515769</v>
      </c>
      <c r="V26" s="19">
        <v>0.27080488204956049</v>
      </c>
      <c r="W26" s="19">
        <v>0.27282118797302252</v>
      </c>
      <c r="X26" s="19">
        <v>0.2790046122250141</v>
      </c>
      <c r="Y26" s="19">
        <v>5.3361880102040807E-2</v>
      </c>
      <c r="Z26" s="19">
        <v>20</v>
      </c>
      <c r="AA26" s="19">
        <v>0</v>
      </c>
      <c r="AB26" s="19">
        <v>1</v>
      </c>
      <c r="AC26" s="19">
        <v>0</v>
      </c>
      <c r="AD26" s="19">
        <v>5.4044266295755157E-2</v>
      </c>
      <c r="AE26" s="19">
        <v>1.0367032303815631</v>
      </c>
      <c r="AF26" s="4" t="s">
        <v>522</v>
      </c>
      <c r="AG26" s="19">
        <v>42</v>
      </c>
      <c r="AH26" s="19">
        <v>32</v>
      </c>
      <c r="AI26" s="19">
        <v>8</v>
      </c>
      <c r="AJ26" s="19">
        <v>5</v>
      </c>
      <c r="AK26" s="19">
        <v>500</v>
      </c>
      <c r="AL26" s="19">
        <v>2000</v>
      </c>
      <c r="AM26" s="4" t="s">
        <v>523</v>
      </c>
      <c r="AN26" s="19">
        <v>0</v>
      </c>
      <c r="AO26" s="19">
        <v>0</v>
      </c>
      <c r="AP26" s="19">
        <v>15.37273243587841</v>
      </c>
      <c r="AQ26" s="19">
        <v>15.37273243587841</v>
      </c>
      <c r="AR26" s="19">
        <v>1.016384E-3</v>
      </c>
      <c r="AS26" s="19">
        <v>0</v>
      </c>
      <c r="AT26" s="19">
        <v>10.3500862121582</v>
      </c>
      <c r="AU26" s="19">
        <v>51.753256559371948</v>
      </c>
      <c r="AV26" s="19">
        <v>41.403170347213752</v>
      </c>
      <c r="AW26" s="19">
        <v>164</v>
      </c>
      <c r="AX26" s="19">
        <v>0.59498862266541153</v>
      </c>
      <c r="AY26" s="19">
        <v>21</v>
      </c>
      <c r="AZ26" s="19">
        <v>0</v>
      </c>
      <c r="BA26" s="4"/>
      <c r="BB26" s="4"/>
      <c r="BC26" s="19">
        <v>1.0680936790943529</v>
      </c>
      <c r="BD26" s="19">
        <v>149</v>
      </c>
      <c r="BE26" s="19">
        <v>0</v>
      </c>
      <c r="BF26" s="19">
        <v>3.5987582291515769</v>
      </c>
      <c r="BG26" s="19">
        <v>0.27080488204956049</v>
      </c>
      <c r="BH26" s="19">
        <v>0.2790046122250141</v>
      </c>
      <c r="BI26" s="19">
        <v>0</v>
      </c>
      <c r="BJ26" s="19">
        <v>4</v>
      </c>
      <c r="BK26" s="19">
        <v>2.012513940398758E-2</v>
      </c>
      <c r="BL26" s="19">
        <v>1.8754843119028449E-4</v>
      </c>
      <c r="BM26" s="19">
        <v>1.8785257597227351E-3</v>
      </c>
      <c r="BN26" s="19">
        <v>148</v>
      </c>
      <c r="BO26" s="19">
        <v>1.578690715738245E-2</v>
      </c>
      <c r="BP26" s="19">
        <v>2.009320903468777E-4</v>
      </c>
      <c r="BQ26" s="19">
        <v>5.0960017217172159E-2</v>
      </c>
      <c r="BR26" s="19">
        <v>148</v>
      </c>
      <c r="BS26" s="19">
        <v>1.5738390587471628E-2</v>
      </c>
      <c r="BT26" s="19">
        <v>2.092445218885267E-4</v>
      </c>
      <c r="BU26" s="19">
        <v>5.094202628006806E-2</v>
      </c>
      <c r="BV26" s="19">
        <v>148</v>
      </c>
      <c r="BW26" s="19">
        <v>1.576428285381138E-2</v>
      </c>
      <c r="BX26" s="19">
        <v>2.05142386007629E-4</v>
      </c>
      <c r="BY26" s="19">
        <v>5.5109958520671673E-2</v>
      </c>
      <c r="BZ26" s="19">
        <v>149</v>
      </c>
      <c r="CA26" s="4"/>
      <c r="CB26" s="4"/>
      <c r="CC26" s="19">
        <v>4</v>
      </c>
      <c r="CD26" s="19">
        <v>50</v>
      </c>
      <c r="CE26" s="19">
        <v>0</v>
      </c>
      <c r="CF26" s="19">
        <v>0</v>
      </c>
      <c r="CG26" s="19">
        <v>5.0964211457527733E-2</v>
      </c>
      <c r="CH26" s="19">
        <v>149</v>
      </c>
      <c r="CI26" s="4"/>
      <c r="CJ26" s="4"/>
      <c r="CK26" s="4"/>
      <c r="CL26" s="4"/>
      <c r="CM26" s="4"/>
      <c r="CN26" s="4"/>
      <c r="CO26" s="4"/>
      <c r="CP26" s="4"/>
      <c r="CQ26" s="4"/>
      <c r="CR26" s="4"/>
      <c r="CS26" s="4"/>
      <c r="CT26" s="4"/>
      <c r="CU26" s="4"/>
    </row>
    <row r="27" spans="1:99" x14ac:dyDescent="0.3">
      <c r="A27" s="4" t="s">
        <v>51</v>
      </c>
      <c r="B27" s="4" t="s">
        <v>445</v>
      </c>
      <c r="C27" s="4" t="s">
        <v>272</v>
      </c>
      <c r="D27" s="4" t="s">
        <v>47</v>
      </c>
      <c r="E27" s="4" t="s">
        <v>48</v>
      </c>
      <c r="F27" s="19">
        <v>6</v>
      </c>
      <c r="G27" s="19">
        <v>1</v>
      </c>
      <c r="H27" s="19">
        <v>6</v>
      </c>
      <c r="I27" s="19">
        <v>1</v>
      </c>
      <c r="J27" s="4" t="s">
        <v>521</v>
      </c>
      <c r="K27" s="4" t="s">
        <v>155</v>
      </c>
      <c r="L27" s="19">
        <v>45</v>
      </c>
      <c r="M27" s="19">
        <v>511</v>
      </c>
      <c r="N27" s="19">
        <v>6.6266513066666657E-2</v>
      </c>
      <c r="O27" s="19">
        <v>6.7282897066666653E-2</v>
      </c>
      <c r="P27" s="19">
        <v>99.883627139764769</v>
      </c>
      <c r="Q27" s="19">
        <v>16.64727118996079</v>
      </c>
      <c r="R27" s="19">
        <v>14.862618044064879</v>
      </c>
      <c r="S27" s="19">
        <v>99.883627139764783</v>
      </c>
      <c r="T27" s="19">
        <v>14.862618044064879</v>
      </c>
      <c r="U27" s="19">
        <v>12.372237705827869</v>
      </c>
      <c r="V27" s="19">
        <v>7.6776742935180664E-2</v>
      </c>
      <c r="W27" s="19">
        <v>8.7267518043518066E-2</v>
      </c>
      <c r="X27" s="19">
        <v>8.0569857020667393E-2</v>
      </c>
      <c r="Y27" s="19">
        <v>0.12076116267123289</v>
      </c>
      <c r="Z27" s="19">
        <v>71</v>
      </c>
      <c r="AA27" s="19">
        <v>0</v>
      </c>
      <c r="AB27" s="19">
        <v>0</v>
      </c>
      <c r="AC27" s="19">
        <v>0</v>
      </c>
      <c r="AD27" s="19">
        <v>0.123866524075219</v>
      </c>
      <c r="AE27" s="19">
        <v>1.1411034049129469</v>
      </c>
      <c r="AF27" s="4" t="s">
        <v>522</v>
      </c>
      <c r="AG27" s="19">
        <v>42</v>
      </c>
      <c r="AH27" s="19">
        <v>32</v>
      </c>
      <c r="AI27" s="19">
        <v>8</v>
      </c>
      <c r="AJ27" s="19">
        <v>5</v>
      </c>
      <c r="AK27" s="19">
        <v>500</v>
      </c>
      <c r="AL27" s="19">
        <v>2000</v>
      </c>
      <c r="AM27" s="4" t="s">
        <v>523</v>
      </c>
      <c r="AN27" s="19">
        <v>0</v>
      </c>
      <c r="AO27" s="19">
        <v>0</v>
      </c>
      <c r="AP27" s="19">
        <v>90.543469428725928</v>
      </c>
      <c r="AQ27" s="19">
        <v>90.543469428725928</v>
      </c>
      <c r="AR27" s="19">
        <v>1.016384E-3</v>
      </c>
      <c r="AS27" s="19">
        <v>0</v>
      </c>
      <c r="AT27" s="19">
        <v>10.0974805355072</v>
      </c>
      <c r="AU27" s="19">
        <v>51.39962911605835</v>
      </c>
      <c r="AV27" s="19">
        <v>41.302148580551147</v>
      </c>
      <c r="AW27" s="19">
        <v>573</v>
      </c>
      <c r="AX27" s="19">
        <v>9.1689133644103998E-2</v>
      </c>
      <c r="AY27" s="19">
        <v>72</v>
      </c>
      <c r="AZ27" s="19">
        <v>0</v>
      </c>
      <c r="BA27" s="4"/>
      <c r="BB27" s="4"/>
      <c r="BC27" s="19">
        <v>1.197479010763099</v>
      </c>
      <c r="BD27" s="19">
        <v>511</v>
      </c>
      <c r="BE27" s="19">
        <v>0</v>
      </c>
      <c r="BF27" s="19">
        <v>12.372237705827869</v>
      </c>
      <c r="BG27" s="19">
        <v>7.6776742935180664E-2</v>
      </c>
      <c r="BH27" s="19">
        <v>8.0569857020667393E-2</v>
      </c>
      <c r="BI27" s="19">
        <v>2</v>
      </c>
      <c r="BJ27" s="19">
        <v>6</v>
      </c>
      <c r="BK27" s="19">
        <v>1.027619791965859E-2</v>
      </c>
      <c r="BL27" s="19">
        <v>1.791121912937538E-4</v>
      </c>
      <c r="BM27" s="19">
        <v>1.8436357086780029E-3</v>
      </c>
      <c r="BN27" s="19">
        <v>510</v>
      </c>
      <c r="BO27" s="19">
        <v>1.027899676678228E-2</v>
      </c>
      <c r="BP27" s="19">
        <v>1.7672613555309819E-4</v>
      </c>
      <c r="BQ27" s="19">
        <v>1.8120017706179149E-3</v>
      </c>
      <c r="BR27" s="19">
        <v>510</v>
      </c>
      <c r="BS27" s="19">
        <v>1.145724829505472E-2</v>
      </c>
      <c r="BT27" s="19">
        <v>1.7748112772025311E-4</v>
      </c>
      <c r="BU27" s="19">
        <v>1.828485844182033E-3</v>
      </c>
      <c r="BV27" s="19">
        <v>510</v>
      </c>
      <c r="BW27" s="19">
        <v>1.028031239071004E-2</v>
      </c>
      <c r="BX27" s="19">
        <v>1.75819938196828E-4</v>
      </c>
      <c r="BY27" s="19">
        <v>1.8271695377775369E-3</v>
      </c>
      <c r="BZ27" s="19">
        <v>511</v>
      </c>
      <c r="CA27" s="4"/>
      <c r="CB27" s="4"/>
      <c r="CC27" s="19">
        <v>6</v>
      </c>
      <c r="CD27" s="19">
        <v>1</v>
      </c>
      <c r="CE27" s="19">
        <v>1.147880946120171E-2</v>
      </c>
      <c r="CF27" s="19">
        <v>1.774006860363507E-4</v>
      </c>
      <c r="CG27" s="19">
        <v>1.8179621948421351E-3</v>
      </c>
      <c r="CH27" s="19">
        <v>511</v>
      </c>
      <c r="CI27" s="19">
        <v>1.02798042931902E-2</v>
      </c>
      <c r="CJ27" s="19">
        <v>1.826542930826982E-4</v>
      </c>
      <c r="CK27" s="19">
        <v>1.819865344321891E-3</v>
      </c>
      <c r="CL27" s="19">
        <v>511</v>
      </c>
      <c r="CM27" s="19">
        <v>0</v>
      </c>
      <c r="CN27" s="19">
        <v>0</v>
      </c>
      <c r="CO27" s="19">
        <v>1.8826268190507091E-3</v>
      </c>
      <c r="CP27" s="19">
        <v>511</v>
      </c>
      <c r="CQ27" s="4"/>
      <c r="CR27" s="4"/>
      <c r="CS27" s="4"/>
      <c r="CT27" s="4"/>
      <c r="CU27" s="4"/>
    </row>
    <row r="28" spans="1:99" x14ac:dyDescent="0.3">
      <c r="A28" s="4" t="s">
        <v>51</v>
      </c>
      <c r="B28" s="4" t="s">
        <v>447</v>
      </c>
      <c r="C28" s="4" t="s">
        <v>273</v>
      </c>
      <c r="D28" s="4" t="s">
        <v>47</v>
      </c>
      <c r="E28" s="4" t="s">
        <v>48</v>
      </c>
      <c r="F28" s="19">
        <v>6</v>
      </c>
      <c r="G28" s="19">
        <v>1</v>
      </c>
      <c r="H28" s="19">
        <v>6</v>
      </c>
      <c r="I28" s="19">
        <v>1</v>
      </c>
      <c r="J28" s="4" t="s">
        <v>521</v>
      </c>
      <c r="K28" s="4" t="s">
        <v>155</v>
      </c>
      <c r="L28" s="19">
        <v>45</v>
      </c>
      <c r="M28" s="19">
        <v>393</v>
      </c>
      <c r="N28" s="19">
        <v>9.0266513066666665E-2</v>
      </c>
      <c r="O28" s="19">
        <v>9.128289706666666E-2</v>
      </c>
      <c r="P28" s="19">
        <v>99.883627139764769</v>
      </c>
      <c r="Q28" s="19">
        <v>16.64727118996079</v>
      </c>
      <c r="R28" s="19">
        <v>10.954954675350301</v>
      </c>
      <c r="S28" s="19">
        <v>99.883627139764783</v>
      </c>
      <c r="T28" s="19">
        <v>10.954954675350301</v>
      </c>
      <c r="U28" s="19">
        <v>9.5239831101928178</v>
      </c>
      <c r="V28" s="19">
        <v>0.1012182235717773</v>
      </c>
      <c r="W28" s="19">
        <v>0.1051677703857422</v>
      </c>
      <c r="X28" s="19">
        <v>0.10474171104625291</v>
      </c>
      <c r="Y28" s="19">
        <v>9.3410994845360834E-2</v>
      </c>
      <c r="Z28" s="19">
        <v>55</v>
      </c>
      <c r="AA28" s="19">
        <v>0</v>
      </c>
      <c r="AB28" s="19">
        <v>0</v>
      </c>
      <c r="AC28" s="19">
        <v>0</v>
      </c>
      <c r="AD28" s="19">
        <v>9.535079354763655E-2</v>
      </c>
      <c r="AE28" s="19">
        <v>1.108841051548294</v>
      </c>
      <c r="AF28" s="4" t="s">
        <v>522</v>
      </c>
      <c r="AG28" s="19">
        <v>42</v>
      </c>
      <c r="AH28" s="19">
        <v>32</v>
      </c>
      <c r="AI28" s="19">
        <v>8</v>
      </c>
      <c r="AJ28" s="19">
        <v>5</v>
      </c>
      <c r="AK28" s="19">
        <v>500</v>
      </c>
      <c r="AL28" s="19">
        <v>2000</v>
      </c>
      <c r="AM28" s="4" t="s">
        <v>523</v>
      </c>
      <c r="AN28" s="19">
        <v>0</v>
      </c>
      <c r="AO28" s="19">
        <v>0</v>
      </c>
      <c r="AP28" s="19">
        <v>66.469832456790243</v>
      </c>
      <c r="AQ28" s="19">
        <v>66.469832456790243</v>
      </c>
      <c r="AR28" s="19">
        <v>1.016384E-3</v>
      </c>
      <c r="AS28" s="19">
        <v>0</v>
      </c>
      <c r="AT28" s="19">
        <v>10.37680315971375</v>
      </c>
      <c r="AU28" s="19">
        <v>51.641051054000847</v>
      </c>
      <c r="AV28" s="19">
        <v>41.264247894287109</v>
      </c>
      <c r="AW28" s="19">
        <v>440</v>
      </c>
      <c r="AX28" s="19">
        <v>0.11104691505432129</v>
      </c>
      <c r="AY28" s="19">
        <v>55</v>
      </c>
      <c r="AZ28" s="19">
        <v>0</v>
      </c>
      <c r="BA28" s="4"/>
      <c r="BB28" s="4"/>
      <c r="BC28" s="19">
        <v>1.1474406971303379</v>
      </c>
      <c r="BD28" s="19">
        <v>393</v>
      </c>
      <c r="BE28" s="19">
        <v>0</v>
      </c>
      <c r="BF28" s="19">
        <v>9.5239831101928178</v>
      </c>
      <c r="BG28" s="19">
        <v>0.1012182235717773</v>
      </c>
      <c r="BH28" s="19">
        <v>0.10474171104625291</v>
      </c>
      <c r="BI28" s="19">
        <v>2</v>
      </c>
      <c r="BJ28" s="19">
        <v>6</v>
      </c>
      <c r="BK28" s="19">
        <v>1.0284063159203039E-2</v>
      </c>
      <c r="BL28" s="19">
        <v>1.7999933690440899E-4</v>
      </c>
      <c r="BM28" s="19">
        <v>1.88932187703191E-3</v>
      </c>
      <c r="BN28" s="19">
        <v>392</v>
      </c>
      <c r="BO28" s="19">
        <v>1.1865854263305661E-2</v>
      </c>
      <c r="BP28" s="19">
        <v>1.8779781399940959E-4</v>
      </c>
      <c r="BQ28" s="19">
        <v>5.8786838638539224E-3</v>
      </c>
      <c r="BR28" s="19">
        <v>392</v>
      </c>
      <c r="BS28" s="19">
        <v>1.0310660819618071E-2</v>
      </c>
      <c r="BT28" s="19">
        <v>1.9077743802751811E-4</v>
      </c>
      <c r="BU28" s="19">
        <v>5.8813423526530356E-3</v>
      </c>
      <c r="BV28" s="19">
        <v>392</v>
      </c>
      <c r="BW28" s="19">
        <v>1.030007027487718E-2</v>
      </c>
      <c r="BX28" s="19">
        <v>1.8451899365917721E-4</v>
      </c>
      <c r="BY28" s="19">
        <v>5.878529172513928E-3</v>
      </c>
      <c r="BZ28" s="19">
        <v>393</v>
      </c>
      <c r="CA28" s="4"/>
      <c r="CB28" s="4"/>
      <c r="CC28" s="19">
        <v>6</v>
      </c>
      <c r="CD28" s="19">
        <v>5</v>
      </c>
      <c r="CE28" s="19">
        <v>1.180482032038177E-2</v>
      </c>
      <c r="CF28" s="19">
        <v>1.896416564630795E-4</v>
      </c>
      <c r="CG28" s="19">
        <v>5.8856149969513487E-3</v>
      </c>
      <c r="CH28" s="19">
        <v>393</v>
      </c>
      <c r="CI28" s="19">
        <v>1.029193310337212E-2</v>
      </c>
      <c r="CJ28" s="19">
        <v>1.8229496691366491E-4</v>
      </c>
      <c r="CK28" s="19">
        <v>5.9115929154646002E-3</v>
      </c>
      <c r="CL28" s="19">
        <v>393</v>
      </c>
      <c r="CM28" s="19">
        <v>0</v>
      </c>
      <c r="CN28" s="19">
        <v>0</v>
      </c>
      <c r="CO28" s="19">
        <v>5.9234222382989546E-3</v>
      </c>
      <c r="CP28" s="19">
        <v>393</v>
      </c>
      <c r="CQ28" s="4"/>
      <c r="CR28" s="4"/>
      <c r="CS28" s="4"/>
      <c r="CT28" s="4"/>
      <c r="CU28" s="4"/>
    </row>
    <row r="29" spans="1:99" x14ac:dyDescent="0.3">
      <c r="A29" s="4" t="s">
        <v>51</v>
      </c>
      <c r="B29" s="4" t="s">
        <v>449</v>
      </c>
      <c r="C29" s="4" t="s">
        <v>274</v>
      </c>
      <c r="D29" s="4" t="s">
        <v>47</v>
      </c>
      <c r="E29" s="4" t="s">
        <v>48</v>
      </c>
      <c r="F29" s="19">
        <v>6</v>
      </c>
      <c r="G29" s="19">
        <v>1</v>
      </c>
      <c r="H29" s="19">
        <v>6</v>
      </c>
      <c r="I29" s="19">
        <v>1</v>
      </c>
      <c r="J29" s="4" t="s">
        <v>521</v>
      </c>
      <c r="K29" s="4" t="s">
        <v>155</v>
      </c>
      <c r="L29" s="19">
        <v>45</v>
      </c>
      <c r="M29" s="19">
        <v>187</v>
      </c>
      <c r="N29" s="19">
        <v>0.21026651306666669</v>
      </c>
      <c r="O29" s="19">
        <v>0.2112828970666667</v>
      </c>
      <c r="P29" s="19">
        <v>99.883627139764769</v>
      </c>
      <c r="Q29" s="19">
        <v>16.64727118996079</v>
      </c>
      <c r="R29" s="19">
        <v>4.7329907620703784</v>
      </c>
      <c r="S29" s="19">
        <v>99.883627139764783</v>
      </c>
      <c r="T29" s="19">
        <v>4.7329907620703784</v>
      </c>
      <c r="U29" s="19">
        <v>4.384683462252748</v>
      </c>
      <c r="V29" s="19">
        <v>0.22140264511108401</v>
      </c>
      <c r="W29" s="19">
        <v>0.22461907863616939</v>
      </c>
      <c r="X29" s="19">
        <v>0.23501277097406231</v>
      </c>
      <c r="Y29" s="19">
        <v>4.3163792096219927E-2</v>
      </c>
      <c r="Z29" s="19">
        <v>25</v>
      </c>
      <c r="AA29" s="19">
        <v>0</v>
      </c>
      <c r="AB29" s="19">
        <v>1</v>
      </c>
      <c r="AC29" s="19">
        <v>0</v>
      </c>
      <c r="AD29" s="19">
        <v>4.3897919887484323E-2</v>
      </c>
      <c r="AE29" s="19">
        <v>1.047896674008707</v>
      </c>
      <c r="AF29" s="4" t="s">
        <v>522</v>
      </c>
      <c r="AG29" s="19">
        <v>42</v>
      </c>
      <c r="AH29" s="19">
        <v>32</v>
      </c>
      <c r="AI29" s="19">
        <v>8</v>
      </c>
      <c r="AJ29" s="19">
        <v>5</v>
      </c>
      <c r="AK29" s="19">
        <v>500</v>
      </c>
      <c r="AL29" s="19">
        <v>2000</v>
      </c>
      <c r="AM29" s="4" t="s">
        <v>523</v>
      </c>
      <c r="AN29" s="19">
        <v>0</v>
      </c>
      <c r="AO29" s="19">
        <v>0</v>
      </c>
      <c r="AP29" s="19">
        <v>28.535214250200902</v>
      </c>
      <c r="AQ29" s="19">
        <v>28.535214250200902</v>
      </c>
      <c r="AR29" s="19">
        <v>1.016384E-3</v>
      </c>
      <c r="AS29" s="19">
        <v>0</v>
      </c>
      <c r="AT29" s="19">
        <v>9.1818294525146484</v>
      </c>
      <c r="AU29" s="19">
        <v>51.830290079116821</v>
      </c>
      <c r="AV29" s="19">
        <v>42.648460626602173</v>
      </c>
      <c r="AW29" s="19">
        <v>201</v>
      </c>
      <c r="AX29" s="19">
        <v>0.40619158267973182</v>
      </c>
      <c r="AY29" s="19">
        <v>26</v>
      </c>
      <c r="AZ29" s="19">
        <v>0</v>
      </c>
      <c r="BA29" s="4"/>
      <c r="BB29" s="4"/>
      <c r="BC29" s="19">
        <v>1.1123132739887991</v>
      </c>
      <c r="BD29" s="19">
        <v>187</v>
      </c>
      <c r="BE29" s="19">
        <v>0</v>
      </c>
      <c r="BF29" s="19">
        <v>4.384683462252748</v>
      </c>
      <c r="BG29" s="19">
        <v>0.22140264511108401</v>
      </c>
      <c r="BH29" s="19">
        <v>0.23501277097406231</v>
      </c>
      <c r="BI29" s="19">
        <v>2</v>
      </c>
      <c r="BJ29" s="19">
        <v>6</v>
      </c>
      <c r="BK29" s="19">
        <v>1.029701514910626E-2</v>
      </c>
      <c r="BL29" s="19">
        <v>1.831554597423923E-4</v>
      </c>
      <c r="BM29" s="19">
        <v>1.866870028998262E-3</v>
      </c>
      <c r="BN29" s="19">
        <v>186</v>
      </c>
      <c r="BO29" s="19">
        <v>1.0299671080804641E-2</v>
      </c>
      <c r="BP29" s="19">
        <v>2.7005775000459411E-4</v>
      </c>
      <c r="BQ29" s="19">
        <v>2.5896417197360789E-2</v>
      </c>
      <c r="BR29" s="19">
        <v>186</v>
      </c>
      <c r="BS29" s="19">
        <v>1.03967958881009E-2</v>
      </c>
      <c r="BT29" s="19">
        <v>1.9750415637928949E-4</v>
      </c>
      <c r="BU29" s="19">
        <v>2.589740804446641E-2</v>
      </c>
      <c r="BV29" s="19">
        <v>186</v>
      </c>
      <c r="BW29" s="19">
        <v>1.3590162800204369E-2</v>
      </c>
      <c r="BX29" s="19">
        <v>1.9725676505796369E-4</v>
      </c>
      <c r="BY29" s="19">
        <v>2.5904546501815961E-2</v>
      </c>
      <c r="BZ29" s="19">
        <v>186</v>
      </c>
      <c r="CA29" s="4"/>
      <c r="CB29" s="4"/>
      <c r="CC29" s="19">
        <v>6</v>
      </c>
      <c r="CD29" s="19">
        <v>25</v>
      </c>
      <c r="CE29" s="19">
        <v>1.028189939611098E-2</v>
      </c>
      <c r="CF29" s="19">
        <v>1.9861415108257441E-4</v>
      </c>
      <c r="CG29" s="19">
        <v>2.9207864547158308E-2</v>
      </c>
      <c r="CH29" s="19">
        <v>187</v>
      </c>
      <c r="CI29" s="19">
        <v>1.030123680033148E-2</v>
      </c>
      <c r="CJ29" s="19">
        <v>1.9577225261831031E-4</v>
      </c>
      <c r="CK29" s="19">
        <v>2.589600991437779E-2</v>
      </c>
      <c r="CL29" s="19">
        <v>187</v>
      </c>
      <c r="CM29" s="19">
        <v>0</v>
      </c>
      <c r="CN29" s="19">
        <v>0</v>
      </c>
      <c r="CO29" s="19">
        <v>2.9268654910000889E-2</v>
      </c>
      <c r="CP29" s="19">
        <v>187</v>
      </c>
      <c r="CQ29" s="4"/>
      <c r="CR29" s="4"/>
      <c r="CS29" s="4"/>
      <c r="CT29" s="4"/>
      <c r="CU29" s="4"/>
    </row>
    <row r="30" spans="1:99" x14ac:dyDescent="0.3">
      <c r="A30" s="4" t="s">
        <v>51</v>
      </c>
      <c r="B30" s="4" t="s">
        <v>451</v>
      </c>
      <c r="C30" s="4" t="s">
        <v>275</v>
      </c>
      <c r="D30" s="4" t="s">
        <v>47</v>
      </c>
      <c r="E30" s="4" t="s">
        <v>48</v>
      </c>
      <c r="F30" s="19">
        <v>6</v>
      </c>
      <c r="G30" s="19">
        <v>1</v>
      </c>
      <c r="H30" s="19">
        <v>6</v>
      </c>
      <c r="I30" s="19">
        <v>1</v>
      </c>
      <c r="J30" s="4" t="s">
        <v>521</v>
      </c>
      <c r="K30" s="4" t="s">
        <v>155</v>
      </c>
      <c r="L30" s="19">
        <v>45</v>
      </c>
      <c r="M30" s="19">
        <v>108</v>
      </c>
      <c r="N30" s="19">
        <v>0.36026651306666668</v>
      </c>
      <c r="O30" s="19">
        <v>0.36128289706666672</v>
      </c>
      <c r="P30" s="19">
        <v>99.883627139764769</v>
      </c>
      <c r="Q30" s="19">
        <v>16.64727118996079</v>
      </c>
      <c r="R30" s="19">
        <v>2.7679140311351982</v>
      </c>
      <c r="S30" s="19">
        <v>99.883627139764783</v>
      </c>
      <c r="T30" s="19">
        <v>2.7679140311351982</v>
      </c>
      <c r="U30" s="19">
        <v>2.5351176025029938</v>
      </c>
      <c r="V30" s="19">
        <v>0.37147855758666992</v>
      </c>
      <c r="W30" s="19">
        <v>0.37377145290374758</v>
      </c>
      <c r="X30" s="19">
        <v>0.39452966275038542</v>
      </c>
      <c r="Y30" s="19">
        <v>2.437546632996633E-2</v>
      </c>
      <c r="Z30" s="19">
        <v>14</v>
      </c>
      <c r="AA30" s="19">
        <v>0</v>
      </c>
      <c r="AB30" s="19">
        <v>2</v>
      </c>
      <c r="AC30" s="19">
        <v>0</v>
      </c>
      <c r="AD30" s="19">
        <v>2.5380712285865071E-2</v>
      </c>
      <c r="AE30" s="19">
        <v>1.028220711810008</v>
      </c>
      <c r="AF30" s="4" t="s">
        <v>522</v>
      </c>
      <c r="AG30" s="19">
        <v>42</v>
      </c>
      <c r="AH30" s="19">
        <v>32</v>
      </c>
      <c r="AI30" s="19">
        <v>8</v>
      </c>
      <c r="AJ30" s="19">
        <v>5</v>
      </c>
      <c r="AK30" s="19">
        <v>500</v>
      </c>
      <c r="AL30" s="19">
        <v>2000</v>
      </c>
      <c r="AM30" s="4" t="s">
        <v>523</v>
      </c>
      <c r="AN30" s="19">
        <v>0</v>
      </c>
      <c r="AO30" s="19">
        <v>0</v>
      </c>
      <c r="AP30" s="19">
        <v>16.654337226423571</v>
      </c>
      <c r="AQ30" s="19">
        <v>16.654337226423571</v>
      </c>
      <c r="AR30" s="19">
        <v>1.016384E-3</v>
      </c>
      <c r="AS30" s="19">
        <v>0</v>
      </c>
      <c r="AT30" s="19">
        <v>10.620003223419189</v>
      </c>
      <c r="AU30" s="19">
        <v>53.221577167510993</v>
      </c>
      <c r="AV30" s="19">
        <v>42.601573944091797</v>
      </c>
      <c r="AW30" s="19">
        <v>118</v>
      </c>
      <c r="AX30" s="19">
        <v>1.513528153896323</v>
      </c>
      <c r="AY30" s="19">
        <v>15</v>
      </c>
      <c r="AZ30" s="19">
        <v>0</v>
      </c>
      <c r="BA30" s="4"/>
      <c r="BB30" s="4"/>
      <c r="BC30" s="19">
        <v>1.0920241892258289</v>
      </c>
      <c r="BD30" s="19">
        <v>108</v>
      </c>
      <c r="BE30" s="19">
        <v>0</v>
      </c>
      <c r="BF30" s="19">
        <v>2.5351176025029938</v>
      </c>
      <c r="BG30" s="19">
        <v>0.37147855758666992</v>
      </c>
      <c r="BH30" s="19">
        <v>0.39452966275038542</v>
      </c>
      <c r="BI30" s="19">
        <v>0</v>
      </c>
      <c r="BJ30" s="19">
        <v>6</v>
      </c>
      <c r="BK30" s="19">
        <v>1.027731137855031E-2</v>
      </c>
      <c r="BL30" s="19">
        <v>1.9411951582008429E-4</v>
      </c>
      <c r="BM30" s="19">
        <v>1.890202549016364E-3</v>
      </c>
      <c r="BN30" s="19">
        <v>107</v>
      </c>
      <c r="BO30" s="19">
        <v>1.033555136786567E-2</v>
      </c>
      <c r="BP30" s="19">
        <v>1.9983229813752351E-4</v>
      </c>
      <c r="BQ30" s="19">
        <v>5.0904927430329497E-2</v>
      </c>
      <c r="BR30" s="19">
        <v>108</v>
      </c>
      <c r="BS30" s="19">
        <v>1.033414293218542E-2</v>
      </c>
      <c r="BT30" s="19">
        <v>2.0576627166182909E-4</v>
      </c>
      <c r="BU30" s="19">
        <v>5.6574730961411093E-2</v>
      </c>
      <c r="BV30" s="19">
        <v>108</v>
      </c>
      <c r="BW30" s="19">
        <v>1.027927133772108E-2</v>
      </c>
      <c r="BX30" s="19">
        <v>2.081173437613028E-4</v>
      </c>
      <c r="BY30" s="19">
        <v>5.6657813213489672E-2</v>
      </c>
      <c r="BZ30" s="19">
        <v>108</v>
      </c>
      <c r="CA30" s="4"/>
      <c r="CB30" s="4"/>
      <c r="CC30" s="19">
        <v>6</v>
      </c>
      <c r="CD30" s="19">
        <v>50</v>
      </c>
      <c r="CE30" s="19">
        <v>1.027449855098018E-2</v>
      </c>
      <c r="CF30" s="19">
        <v>1.965783260486744E-4</v>
      </c>
      <c r="CG30" s="19">
        <v>5.6610350255612972E-2</v>
      </c>
      <c r="CH30" s="19">
        <v>108</v>
      </c>
      <c r="CI30" s="19">
        <v>1.027497980329726E-2</v>
      </c>
      <c r="CJ30" s="19">
        <v>2.166076942726418E-4</v>
      </c>
      <c r="CK30" s="19">
        <v>5.6702781606603553E-2</v>
      </c>
      <c r="CL30" s="19">
        <v>108</v>
      </c>
      <c r="CM30" s="19">
        <v>0</v>
      </c>
      <c r="CN30" s="19">
        <v>0</v>
      </c>
      <c r="CO30" s="19">
        <v>5.0911940910198072E-2</v>
      </c>
      <c r="CP30" s="19">
        <v>108</v>
      </c>
      <c r="CQ30" s="4"/>
      <c r="CR30" s="4"/>
      <c r="CS30" s="4"/>
      <c r="CT30" s="4"/>
      <c r="CU30" s="4"/>
    </row>
    <row r="31" spans="1:99" x14ac:dyDescent="0.3">
      <c r="A31" s="4" t="s">
        <v>58</v>
      </c>
      <c r="B31" s="4" t="s">
        <v>524</v>
      </c>
      <c r="C31" s="4" t="s">
        <v>299</v>
      </c>
      <c r="D31" s="4" t="s">
        <v>47</v>
      </c>
      <c r="E31" s="4" t="s">
        <v>48</v>
      </c>
      <c r="F31" s="19">
        <v>3</v>
      </c>
      <c r="G31" s="19">
        <v>1</v>
      </c>
      <c r="H31" s="19">
        <v>3</v>
      </c>
      <c r="I31" s="19">
        <v>6</v>
      </c>
      <c r="J31" s="4" t="s">
        <v>521</v>
      </c>
      <c r="K31" s="4" t="s">
        <v>155</v>
      </c>
      <c r="L31" s="19">
        <v>50</v>
      </c>
      <c r="M31" s="19">
        <v>657</v>
      </c>
      <c r="N31" s="19">
        <v>7.5168209066666658E-2</v>
      </c>
      <c r="O31" s="19">
        <v>7.6184593066666653E-2</v>
      </c>
      <c r="P31" s="19">
        <v>49.941813569882378</v>
      </c>
      <c r="Q31" s="19">
        <v>49.941813569882378</v>
      </c>
      <c r="R31" s="19">
        <v>78.756081229568238</v>
      </c>
      <c r="S31" s="19">
        <v>49.941813569882392</v>
      </c>
      <c r="T31" s="19">
        <v>49.941813569882392</v>
      </c>
      <c r="U31" s="19">
        <v>42.945149038254371</v>
      </c>
      <c r="V31" s="19">
        <v>0.1275019645690918</v>
      </c>
      <c r="W31" s="19">
        <v>0.13371839523315429</v>
      </c>
      <c r="X31" s="19">
        <v>0.13943013172352881</v>
      </c>
      <c r="Y31" s="19">
        <v>0.43803441568627449</v>
      </c>
      <c r="Z31" s="19">
        <v>108</v>
      </c>
      <c r="AA31" s="19">
        <v>1183</v>
      </c>
      <c r="AB31" s="19">
        <v>7</v>
      </c>
      <c r="AC31" s="19">
        <v>0</v>
      </c>
      <c r="AD31" s="19">
        <v>0.85990367526726386</v>
      </c>
      <c r="AE31" s="19">
        <v>1.673592513088821</v>
      </c>
      <c r="AF31" s="4" t="s">
        <v>522</v>
      </c>
      <c r="AG31" s="19">
        <v>42</v>
      </c>
      <c r="AH31" s="19">
        <v>32</v>
      </c>
      <c r="AI31" s="19">
        <v>8</v>
      </c>
      <c r="AJ31" s="19">
        <v>5</v>
      </c>
      <c r="AK31" s="19">
        <v>250</v>
      </c>
      <c r="AL31" s="19">
        <v>1000</v>
      </c>
      <c r="AM31" s="4" t="s">
        <v>525</v>
      </c>
      <c r="AN31" s="19">
        <v>1</v>
      </c>
      <c r="AO31" s="19">
        <v>1</v>
      </c>
      <c r="AP31" s="19">
        <v>39.910489251370898</v>
      </c>
      <c r="AQ31" s="19">
        <v>39.910489251370898</v>
      </c>
      <c r="AR31" s="19">
        <v>1.016384E-3</v>
      </c>
      <c r="AS31" s="19">
        <v>0</v>
      </c>
      <c r="AT31" s="19">
        <v>8.9625356197357178</v>
      </c>
      <c r="AU31" s="19">
        <v>24.261120319366459</v>
      </c>
      <c r="AV31" s="19">
        <v>15.298584699630741</v>
      </c>
      <c r="AW31" s="19">
        <v>885</v>
      </c>
      <c r="AX31" s="19">
        <v>0.72957389831542963</v>
      </c>
      <c r="AY31" s="19">
        <v>1291</v>
      </c>
      <c r="AZ31" s="19">
        <v>15</v>
      </c>
      <c r="BA31" s="19">
        <v>0.67995095252990723</v>
      </c>
      <c r="BB31" s="4"/>
      <c r="BC31" s="19">
        <v>1.8301617966446051</v>
      </c>
      <c r="BD31" s="19">
        <v>657</v>
      </c>
      <c r="BE31" s="19">
        <v>0</v>
      </c>
      <c r="BF31" s="19">
        <v>42.945149038254371</v>
      </c>
      <c r="BG31" s="19">
        <v>0.1275019645690918</v>
      </c>
      <c r="BH31" s="19">
        <v>0.13943013172352881</v>
      </c>
      <c r="BI31" s="19">
        <v>10</v>
      </c>
      <c r="BJ31" s="19">
        <v>3</v>
      </c>
      <c r="BK31" s="19">
        <v>2.2861319097853799E-2</v>
      </c>
      <c r="BL31" s="19">
        <v>3.5436641896954023E-2</v>
      </c>
      <c r="BM31" s="19">
        <v>2.6843103743691482E-3</v>
      </c>
      <c r="BN31" s="19">
        <v>655</v>
      </c>
      <c r="BO31" s="19">
        <v>2.287450492658423E-2</v>
      </c>
      <c r="BP31" s="19">
        <v>6.1438120498539311E-3</v>
      </c>
      <c r="BQ31" s="19">
        <v>5.8533747376761812E-3</v>
      </c>
      <c r="BR31" s="19">
        <v>647</v>
      </c>
      <c r="BS31" s="19">
        <v>2.2695402032164129E-2</v>
      </c>
      <c r="BT31" s="19">
        <v>6.4319940099614578E-3</v>
      </c>
      <c r="BU31" s="19">
        <v>6.7993908712308702E-3</v>
      </c>
      <c r="BV31" s="19">
        <v>657</v>
      </c>
      <c r="BW31" s="19">
        <v>0</v>
      </c>
      <c r="BX31" s="19">
        <v>0</v>
      </c>
      <c r="BY31" s="19">
        <v>5.7782734910102737E-3</v>
      </c>
      <c r="BZ31" s="19">
        <v>657</v>
      </c>
      <c r="CA31" s="4"/>
      <c r="CB31" s="19">
        <v>500</v>
      </c>
      <c r="CC31" s="4"/>
      <c r="CD31" s="4"/>
      <c r="CE31" s="4"/>
      <c r="CF31" s="4"/>
      <c r="CG31" s="4"/>
      <c r="CH31" s="4"/>
      <c r="CI31" s="4"/>
      <c r="CJ31" s="4"/>
      <c r="CK31" s="4"/>
      <c r="CL31" s="4"/>
      <c r="CM31" s="4"/>
      <c r="CN31" s="4"/>
      <c r="CO31" s="4"/>
      <c r="CP31" s="4"/>
      <c r="CQ31" s="19">
        <v>1</v>
      </c>
      <c r="CR31" s="19">
        <v>250</v>
      </c>
      <c r="CS31" s="4" t="s">
        <v>298</v>
      </c>
      <c r="CT31" s="4"/>
      <c r="CU31" s="4"/>
    </row>
    <row r="32" spans="1:99" x14ac:dyDescent="0.3">
      <c r="A32" s="4" t="s">
        <v>58</v>
      </c>
      <c r="B32" s="4" t="s">
        <v>526</v>
      </c>
      <c r="C32" s="4" t="s">
        <v>300</v>
      </c>
      <c r="D32" s="4" t="s">
        <v>47</v>
      </c>
      <c r="E32" s="4" t="s">
        <v>48</v>
      </c>
      <c r="F32" s="19">
        <v>3</v>
      </c>
      <c r="G32" s="19">
        <v>1</v>
      </c>
      <c r="H32" s="19">
        <v>3</v>
      </c>
      <c r="I32" s="19">
        <v>6</v>
      </c>
      <c r="J32" s="4" t="s">
        <v>521</v>
      </c>
      <c r="K32" s="4" t="s">
        <v>155</v>
      </c>
      <c r="L32" s="19">
        <v>50</v>
      </c>
      <c r="M32" s="19">
        <v>661</v>
      </c>
      <c r="N32" s="19">
        <v>7.5168209066666658E-2</v>
      </c>
      <c r="O32" s="19">
        <v>7.6184593066666653E-2</v>
      </c>
      <c r="P32" s="19">
        <v>49.941813569882378</v>
      </c>
      <c r="Q32" s="19">
        <v>49.941813569882378</v>
      </c>
      <c r="R32" s="19">
        <v>78.756081229568238</v>
      </c>
      <c r="S32" s="19">
        <v>49.941813569882392</v>
      </c>
      <c r="T32" s="19">
        <v>49.941813569882392</v>
      </c>
      <c r="U32" s="19">
        <v>43.135780215047603</v>
      </c>
      <c r="V32" s="19">
        <v>0.12853670120239261</v>
      </c>
      <c r="W32" s="19">
        <v>0.13333320617675781</v>
      </c>
      <c r="X32" s="19">
        <v>0.1389611142486018</v>
      </c>
      <c r="Y32" s="19">
        <v>0.44998470800000012</v>
      </c>
      <c r="Z32" s="19">
        <v>108</v>
      </c>
      <c r="AA32" s="19">
        <v>1155</v>
      </c>
      <c r="AB32" s="19">
        <v>0</v>
      </c>
      <c r="AC32" s="19">
        <v>0</v>
      </c>
      <c r="AD32" s="19">
        <v>0.86372074083150263</v>
      </c>
      <c r="AE32" s="19">
        <v>1.687174480146062</v>
      </c>
      <c r="AF32" s="4" t="s">
        <v>522</v>
      </c>
      <c r="AG32" s="19">
        <v>42</v>
      </c>
      <c r="AH32" s="19">
        <v>32</v>
      </c>
      <c r="AI32" s="19">
        <v>8</v>
      </c>
      <c r="AJ32" s="19">
        <v>5</v>
      </c>
      <c r="AK32" s="19">
        <v>500</v>
      </c>
      <c r="AL32" s="19">
        <v>2000</v>
      </c>
      <c r="AM32" s="4" t="s">
        <v>525</v>
      </c>
      <c r="AN32" s="19">
        <v>1</v>
      </c>
      <c r="AO32" s="19">
        <v>1</v>
      </c>
      <c r="AP32" s="19">
        <v>39.910489251370898</v>
      </c>
      <c r="AQ32" s="19">
        <v>39.910489251370898</v>
      </c>
      <c r="AR32" s="19">
        <v>1.016384E-3</v>
      </c>
      <c r="AS32" s="19">
        <v>0</v>
      </c>
      <c r="AT32" s="19">
        <v>8.4084131717681885</v>
      </c>
      <c r="AU32" s="19">
        <v>23.732118844985958</v>
      </c>
      <c r="AV32" s="19">
        <v>15.32370567321777</v>
      </c>
      <c r="AW32" s="19">
        <v>888</v>
      </c>
      <c r="AX32" s="19">
        <v>0.67346172332763665</v>
      </c>
      <c r="AY32" s="19">
        <v>1263</v>
      </c>
      <c r="AZ32" s="19">
        <v>21</v>
      </c>
      <c r="BA32" s="19">
        <v>1.3389103412628169</v>
      </c>
      <c r="BB32" s="4"/>
      <c r="BC32" s="19">
        <v>1.8240054669190331</v>
      </c>
      <c r="BD32" s="19">
        <v>661</v>
      </c>
      <c r="BE32" s="19">
        <v>0</v>
      </c>
      <c r="BF32" s="19">
        <v>43.135780215047603</v>
      </c>
      <c r="BG32" s="19">
        <v>0.12853670120239261</v>
      </c>
      <c r="BH32" s="19">
        <v>0.1389611142486018</v>
      </c>
      <c r="BI32" s="19">
        <v>11</v>
      </c>
      <c r="BJ32" s="19">
        <v>3</v>
      </c>
      <c r="BK32" s="19">
        <v>2.2586876695806331E-2</v>
      </c>
      <c r="BL32" s="19">
        <v>1.883415019873417E-3</v>
      </c>
      <c r="BM32" s="19">
        <v>1.749587420261268E-3</v>
      </c>
      <c r="BN32" s="19">
        <v>660</v>
      </c>
      <c r="BO32" s="19">
        <v>2.2927517190985722E-2</v>
      </c>
      <c r="BP32" s="19">
        <v>2.2955443516419202E-2</v>
      </c>
      <c r="BQ32" s="19">
        <v>6.7931202208959367E-3</v>
      </c>
      <c r="BR32" s="19">
        <v>654</v>
      </c>
      <c r="BS32" s="19">
        <v>2.2903974489732221E-2</v>
      </c>
      <c r="BT32" s="19">
        <v>2.2358565258257319E-2</v>
      </c>
      <c r="BU32" s="19">
        <v>6.7184459079395638E-3</v>
      </c>
      <c r="BV32" s="19">
        <v>660</v>
      </c>
      <c r="BW32" s="19">
        <v>0</v>
      </c>
      <c r="BX32" s="19">
        <v>0</v>
      </c>
      <c r="BY32" s="19">
        <v>6.6004181773868164E-3</v>
      </c>
      <c r="BZ32" s="19">
        <v>661</v>
      </c>
      <c r="CA32" s="4"/>
      <c r="CB32" s="19">
        <v>500</v>
      </c>
      <c r="CC32" s="4"/>
      <c r="CD32" s="4"/>
      <c r="CE32" s="4"/>
      <c r="CF32" s="4"/>
      <c r="CG32" s="4"/>
      <c r="CH32" s="4"/>
      <c r="CI32" s="4"/>
      <c r="CJ32" s="4"/>
      <c r="CK32" s="4"/>
      <c r="CL32" s="4"/>
      <c r="CM32" s="4"/>
      <c r="CN32" s="4"/>
      <c r="CO32" s="4"/>
      <c r="CP32" s="4"/>
      <c r="CQ32" s="19">
        <v>1</v>
      </c>
      <c r="CR32" s="19">
        <v>500</v>
      </c>
      <c r="CS32" s="4" t="s">
        <v>298</v>
      </c>
      <c r="CT32" s="4"/>
      <c r="CU32" s="4"/>
    </row>
    <row r="33" spans="1:99" x14ac:dyDescent="0.3">
      <c r="A33" s="4" t="s">
        <v>58</v>
      </c>
      <c r="B33" s="4" t="s">
        <v>527</v>
      </c>
      <c r="C33" s="4" t="s">
        <v>301</v>
      </c>
      <c r="D33" s="4" t="s">
        <v>47</v>
      </c>
      <c r="E33" s="4" t="s">
        <v>48</v>
      </c>
      <c r="F33" s="19">
        <v>3</v>
      </c>
      <c r="G33" s="19">
        <v>1</v>
      </c>
      <c r="H33" s="19">
        <v>3</v>
      </c>
      <c r="I33" s="19">
        <v>6</v>
      </c>
      <c r="J33" s="4" t="s">
        <v>521</v>
      </c>
      <c r="K33" s="4" t="s">
        <v>155</v>
      </c>
      <c r="L33" s="19">
        <v>50</v>
      </c>
      <c r="M33" s="19">
        <v>666</v>
      </c>
      <c r="N33" s="19">
        <v>7.5168209066666658E-2</v>
      </c>
      <c r="O33" s="19">
        <v>7.6184593066666653E-2</v>
      </c>
      <c r="P33" s="19">
        <v>49.941813569882378</v>
      </c>
      <c r="Q33" s="19">
        <v>49.941813569882378</v>
      </c>
      <c r="R33" s="19">
        <v>78.756081229568238</v>
      </c>
      <c r="S33" s="19">
        <v>49.941813569882392</v>
      </c>
      <c r="T33" s="19">
        <v>49.941813569882392</v>
      </c>
      <c r="U33" s="19">
        <v>43.374327687054652</v>
      </c>
      <c r="V33" s="19">
        <v>0.1267205476760864</v>
      </c>
      <c r="W33" s="19">
        <v>0.13211071491241461</v>
      </c>
      <c r="X33" s="19">
        <v>0.1381047817321869</v>
      </c>
      <c r="Y33" s="19">
        <v>0.44756807539682553</v>
      </c>
      <c r="Z33" s="19">
        <v>108</v>
      </c>
      <c r="AA33" s="19">
        <v>1081</v>
      </c>
      <c r="AB33" s="19">
        <v>0</v>
      </c>
      <c r="AC33" s="19">
        <v>0</v>
      </c>
      <c r="AD33" s="19">
        <v>0.86849724883062152</v>
      </c>
      <c r="AE33" s="19">
        <v>1.6633356243722059</v>
      </c>
      <c r="AF33" s="4" t="s">
        <v>522</v>
      </c>
      <c r="AG33" s="19">
        <v>42</v>
      </c>
      <c r="AH33" s="19">
        <v>32</v>
      </c>
      <c r="AI33" s="19">
        <v>8</v>
      </c>
      <c r="AJ33" s="19">
        <v>5</v>
      </c>
      <c r="AK33" s="19">
        <v>1000</v>
      </c>
      <c r="AL33" s="19">
        <v>4000</v>
      </c>
      <c r="AM33" s="4" t="s">
        <v>525</v>
      </c>
      <c r="AN33" s="19">
        <v>1</v>
      </c>
      <c r="AO33" s="19">
        <v>1</v>
      </c>
      <c r="AP33" s="19">
        <v>39.910489251370898</v>
      </c>
      <c r="AQ33" s="19">
        <v>39.910489251370898</v>
      </c>
      <c r="AR33" s="19">
        <v>1.016384E-3</v>
      </c>
      <c r="AS33" s="19">
        <v>0</v>
      </c>
      <c r="AT33" s="19">
        <v>8.9920852184295654</v>
      </c>
      <c r="AU33" s="19">
        <v>24.34679007530212</v>
      </c>
      <c r="AV33" s="19">
        <v>15.35470485687256</v>
      </c>
      <c r="AW33" s="19">
        <v>896</v>
      </c>
      <c r="AX33" s="19">
        <v>0.72764621973037724</v>
      </c>
      <c r="AY33" s="19">
        <v>1189</v>
      </c>
      <c r="AZ33" s="19">
        <v>46</v>
      </c>
      <c r="BA33" s="19">
        <v>3.217918872833252</v>
      </c>
      <c r="BB33" s="4"/>
      <c r="BC33" s="19">
        <v>1.8127652347153169</v>
      </c>
      <c r="BD33" s="19">
        <v>666</v>
      </c>
      <c r="BE33" s="19">
        <v>0</v>
      </c>
      <c r="BF33" s="19">
        <v>43.374327687054652</v>
      </c>
      <c r="BG33" s="19">
        <v>0.1267205476760864</v>
      </c>
      <c r="BH33" s="19">
        <v>0.1381047817321869</v>
      </c>
      <c r="BI33" s="19">
        <v>10</v>
      </c>
      <c r="BJ33" s="19">
        <v>3</v>
      </c>
      <c r="BK33" s="19">
        <v>2.2770541771910249E-2</v>
      </c>
      <c r="BL33" s="19">
        <v>2.245108023621982E-2</v>
      </c>
      <c r="BM33" s="19">
        <v>2.7010214956183182E-3</v>
      </c>
      <c r="BN33" s="19">
        <v>665</v>
      </c>
      <c r="BO33" s="19">
        <v>2.2681266160550832E-2</v>
      </c>
      <c r="BP33" s="19">
        <v>7.5369143704755593E-4</v>
      </c>
      <c r="BQ33" s="19">
        <v>6.7690858782613666E-3</v>
      </c>
      <c r="BR33" s="19">
        <v>654</v>
      </c>
      <c r="BS33" s="19">
        <v>2.2784872455997869E-2</v>
      </c>
      <c r="BT33" s="19">
        <v>2.4093054436348581E-2</v>
      </c>
      <c r="BU33" s="19">
        <v>5.8420008725232186E-3</v>
      </c>
      <c r="BV33" s="19">
        <v>666</v>
      </c>
      <c r="BW33" s="19">
        <v>0</v>
      </c>
      <c r="BX33" s="19">
        <v>0</v>
      </c>
      <c r="BY33" s="19">
        <v>5.8279721228568044E-3</v>
      </c>
      <c r="BZ33" s="19">
        <v>666</v>
      </c>
      <c r="CA33" s="4"/>
      <c r="CB33" s="19">
        <v>500</v>
      </c>
      <c r="CC33" s="4"/>
      <c r="CD33" s="4"/>
      <c r="CE33" s="4"/>
      <c r="CF33" s="4"/>
      <c r="CG33" s="4"/>
      <c r="CH33" s="4"/>
      <c r="CI33" s="4"/>
      <c r="CJ33" s="4"/>
      <c r="CK33" s="4"/>
      <c r="CL33" s="4"/>
      <c r="CM33" s="4"/>
      <c r="CN33" s="4"/>
      <c r="CO33" s="4"/>
      <c r="CP33" s="4"/>
      <c r="CQ33" s="19">
        <v>1</v>
      </c>
      <c r="CR33" s="19">
        <v>1000</v>
      </c>
      <c r="CS33" s="4" t="s">
        <v>298</v>
      </c>
      <c r="CT33" s="4"/>
      <c r="CU33" s="4"/>
    </row>
    <row r="34" spans="1:99" x14ac:dyDescent="0.3">
      <c r="A34" s="4" t="s">
        <v>58</v>
      </c>
      <c r="B34" s="4" t="s">
        <v>528</v>
      </c>
      <c r="C34" s="4" t="s">
        <v>302</v>
      </c>
      <c r="D34" s="4" t="s">
        <v>47</v>
      </c>
      <c r="E34" s="4" t="s">
        <v>48</v>
      </c>
      <c r="F34" s="19">
        <v>3</v>
      </c>
      <c r="G34" s="19">
        <v>2</v>
      </c>
      <c r="H34" s="19">
        <v>6</v>
      </c>
      <c r="I34" s="19">
        <v>6</v>
      </c>
      <c r="J34" s="4" t="s">
        <v>521</v>
      </c>
      <c r="K34" s="4" t="s">
        <v>155</v>
      </c>
      <c r="L34" s="19">
        <v>50</v>
      </c>
      <c r="M34" s="19">
        <v>2403</v>
      </c>
      <c r="N34" s="19">
        <v>7.5168209066666658E-2</v>
      </c>
      <c r="O34" s="19">
        <v>7.6184593066666653E-2</v>
      </c>
      <c r="P34" s="19">
        <v>99.883627139764769</v>
      </c>
      <c r="Q34" s="19">
        <v>99.883627139764769</v>
      </c>
      <c r="R34" s="19">
        <v>78.756081229568238</v>
      </c>
      <c r="S34" s="19">
        <v>99.883627139764783</v>
      </c>
      <c r="T34" s="19">
        <v>78.756081229568238</v>
      </c>
      <c r="U34" s="19">
        <v>50.533967330968068</v>
      </c>
      <c r="V34" s="19">
        <v>0.12492251396179201</v>
      </c>
      <c r="W34" s="19">
        <v>0.13088068962097171</v>
      </c>
      <c r="X34" s="19">
        <v>0.1183878691852266</v>
      </c>
      <c r="Y34" s="19">
        <v>0.61034657042253515</v>
      </c>
      <c r="Z34" s="19">
        <v>342</v>
      </c>
      <c r="AA34" s="19">
        <v>0</v>
      </c>
      <c r="AB34" s="19">
        <v>24</v>
      </c>
      <c r="AC34" s="19">
        <v>3</v>
      </c>
      <c r="AD34" s="19">
        <v>0.50592843670221443</v>
      </c>
      <c r="AE34" s="19">
        <v>1.6397346094961269</v>
      </c>
      <c r="AF34" s="4" t="s">
        <v>522</v>
      </c>
      <c r="AG34" s="19">
        <v>42</v>
      </c>
      <c r="AH34" s="19">
        <v>32</v>
      </c>
      <c r="AI34" s="19">
        <v>8</v>
      </c>
      <c r="AJ34" s="19">
        <v>5</v>
      </c>
      <c r="AK34" s="19">
        <v>250</v>
      </c>
      <c r="AL34" s="19">
        <v>1000</v>
      </c>
      <c r="AM34" s="4" t="s">
        <v>525</v>
      </c>
      <c r="AN34" s="19">
        <v>1</v>
      </c>
      <c r="AO34" s="19">
        <v>1</v>
      </c>
      <c r="AP34" s="19">
        <v>39.910489251370898</v>
      </c>
      <c r="AQ34" s="19">
        <v>79.820978502741795</v>
      </c>
      <c r="AR34" s="19">
        <v>1.016384E-3</v>
      </c>
      <c r="AS34" s="19">
        <v>0</v>
      </c>
      <c r="AT34" s="19">
        <v>9.2433829307556152</v>
      </c>
      <c r="AU34" s="19">
        <v>56.795556783676147</v>
      </c>
      <c r="AV34" s="19">
        <v>47.552173852920532</v>
      </c>
      <c r="AW34" s="19">
        <v>2748</v>
      </c>
      <c r="AX34" s="19">
        <v>0.69043259143829383</v>
      </c>
      <c r="AY34" s="19">
        <v>347</v>
      </c>
      <c r="AZ34" s="19">
        <v>13</v>
      </c>
      <c r="BA34" s="19">
        <v>0.69779086112976074</v>
      </c>
      <c r="BB34" s="19">
        <v>0.77799296379089355</v>
      </c>
      <c r="BC34" s="19">
        <v>1.5539607736912009</v>
      </c>
      <c r="BD34" s="19">
        <v>2395</v>
      </c>
      <c r="BE34" s="19">
        <v>0.77799296379089355</v>
      </c>
      <c r="BF34" s="19">
        <v>51.203462133884209</v>
      </c>
      <c r="BG34" s="19">
        <v>0.12492251396179201</v>
      </c>
      <c r="BH34" s="19">
        <v>0.1175637293956972</v>
      </c>
      <c r="BI34" s="19">
        <v>32</v>
      </c>
      <c r="BJ34" s="19">
        <v>6</v>
      </c>
      <c r="BK34" s="19">
        <v>2.2323576088916001E-2</v>
      </c>
      <c r="BL34" s="19">
        <v>2.3778414657093209E-4</v>
      </c>
      <c r="BM34" s="19">
        <v>1.7519580147051981E-3</v>
      </c>
      <c r="BN34" s="19">
        <v>2413</v>
      </c>
      <c r="BO34" s="19">
        <v>2.248013657471009E-2</v>
      </c>
      <c r="BP34" s="19">
        <v>2.60723278075955E-2</v>
      </c>
      <c r="BQ34" s="19">
        <v>6.0927920716263382E-3</v>
      </c>
      <c r="BR34" s="19">
        <v>2392</v>
      </c>
      <c r="BS34" s="19">
        <v>2.2100798249294298E-2</v>
      </c>
      <c r="BT34" s="19">
        <v>2.3414877321240911E-4</v>
      </c>
      <c r="BU34" s="19">
        <v>6.0682882133544207E-3</v>
      </c>
      <c r="BV34" s="19">
        <v>2403</v>
      </c>
      <c r="BW34" s="19">
        <v>0</v>
      </c>
      <c r="BX34" s="19">
        <v>0</v>
      </c>
      <c r="BY34" s="19">
        <v>6.1464674811138988E-3</v>
      </c>
      <c r="BZ34" s="19">
        <v>2403</v>
      </c>
      <c r="CA34" s="4"/>
      <c r="CB34" s="19">
        <v>500</v>
      </c>
      <c r="CC34" s="4"/>
      <c r="CD34" s="4"/>
      <c r="CE34" s="4"/>
      <c r="CF34" s="4"/>
      <c r="CG34" s="4"/>
      <c r="CH34" s="4"/>
      <c r="CI34" s="4"/>
      <c r="CJ34" s="4"/>
      <c r="CK34" s="4"/>
      <c r="CL34" s="4"/>
      <c r="CM34" s="4"/>
      <c r="CN34" s="4"/>
      <c r="CO34" s="4"/>
      <c r="CP34" s="4"/>
      <c r="CQ34" s="19">
        <v>2</v>
      </c>
      <c r="CR34" s="19">
        <v>250</v>
      </c>
      <c r="CS34" s="4" t="s">
        <v>298</v>
      </c>
      <c r="CT34" s="4"/>
      <c r="CU34" s="4"/>
    </row>
    <row r="35" spans="1:99" x14ac:dyDescent="0.3">
      <c r="A35" s="4" t="s">
        <v>58</v>
      </c>
      <c r="B35" s="4" t="s">
        <v>529</v>
      </c>
      <c r="C35" s="4" t="s">
        <v>303</v>
      </c>
      <c r="D35" s="4" t="s">
        <v>47</v>
      </c>
      <c r="E35" s="4" t="s">
        <v>48</v>
      </c>
      <c r="F35" s="19">
        <v>3</v>
      </c>
      <c r="G35" s="19">
        <v>2</v>
      </c>
      <c r="H35" s="19">
        <v>6</v>
      </c>
      <c r="I35" s="19">
        <v>6</v>
      </c>
      <c r="J35" s="4" t="s">
        <v>521</v>
      </c>
      <c r="K35" s="4" t="s">
        <v>155</v>
      </c>
      <c r="L35" s="19">
        <v>50</v>
      </c>
      <c r="M35" s="19">
        <v>2399</v>
      </c>
      <c r="N35" s="19">
        <v>7.5168209066666658E-2</v>
      </c>
      <c r="O35" s="19">
        <v>7.6184593066666653E-2</v>
      </c>
      <c r="P35" s="19">
        <v>99.883627139764769</v>
      </c>
      <c r="Q35" s="19">
        <v>99.883627139764769</v>
      </c>
      <c r="R35" s="19">
        <v>78.756081229568238</v>
      </c>
      <c r="S35" s="19">
        <v>99.883627139764783</v>
      </c>
      <c r="T35" s="19">
        <v>78.756081229568238</v>
      </c>
      <c r="U35" s="19">
        <v>50.448397072620459</v>
      </c>
      <c r="V35" s="19">
        <v>0.12486362457275391</v>
      </c>
      <c r="W35" s="19">
        <v>0.13028769493103029</v>
      </c>
      <c r="X35" s="19">
        <v>0.1179124273424995</v>
      </c>
      <c r="Y35" s="19">
        <v>0.61005744620811286</v>
      </c>
      <c r="Z35" s="19">
        <v>339</v>
      </c>
      <c r="AA35" s="19">
        <v>1</v>
      </c>
      <c r="AB35" s="19">
        <v>15</v>
      </c>
      <c r="AC35" s="19">
        <v>3</v>
      </c>
      <c r="AD35" s="19">
        <v>0.50507173715296927</v>
      </c>
      <c r="AE35" s="19">
        <v>1.6389616265783531</v>
      </c>
      <c r="AF35" s="4" t="s">
        <v>522</v>
      </c>
      <c r="AG35" s="19">
        <v>42</v>
      </c>
      <c r="AH35" s="19">
        <v>32</v>
      </c>
      <c r="AI35" s="19">
        <v>8</v>
      </c>
      <c r="AJ35" s="19">
        <v>5</v>
      </c>
      <c r="AK35" s="19">
        <v>500</v>
      </c>
      <c r="AL35" s="19">
        <v>2000</v>
      </c>
      <c r="AM35" s="4" t="s">
        <v>525</v>
      </c>
      <c r="AN35" s="19">
        <v>1</v>
      </c>
      <c r="AO35" s="19">
        <v>1</v>
      </c>
      <c r="AP35" s="19">
        <v>39.910489251370898</v>
      </c>
      <c r="AQ35" s="19">
        <v>79.820978502741795</v>
      </c>
      <c r="AR35" s="19">
        <v>1.016384E-3</v>
      </c>
      <c r="AS35" s="19">
        <v>0</v>
      </c>
      <c r="AT35" s="19">
        <v>9.1033089160919189</v>
      </c>
      <c r="AU35" s="19">
        <v>56.656851530075073</v>
      </c>
      <c r="AV35" s="19">
        <v>47.553542613983147</v>
      </c>
      <c r="AW35" s="19">
        <v>2744</v>
      </c>
      <c r="AX35" s="19">
        <v>0.69549850463867191</v>
      </c>
      <c r="AY35" s="19">
        <v>346</v>
      </c>
      <c r="AZ35" s="19">
        <v>17</v>
      </c>
      <c r="BA35" s="19">
        <v>1.3194675445556641</v>
      </c>
      <c r="BB35" s="19">
        <v>1.395545482635498</v>
      </c>
      <c r="BC35" s="19">
        <v>1.5477201176269091</v>
      </c>
      <c r="BD35" s="19">
        <v>2382</v>
      </c>
      <c r="BE35" s="19">
        <v>1.395545482635498</v>
      </c>
      <c r="BF35" s="19">
        <v>51.605358725201121</v>
      </c>
      <c r="BG35" s="19">
        <v>0.1248774528503418</v>
      </c>
      <c r="BH35" s="19">
        <v>0.1165784447259206</v>
      </c>
      <c r="BI35" s="19">
        <v>32</v>
      </c>
      <c r="BJ35" s="19">
        <v>6</v>
      </c>
      <c r="BK35" s="19">
        <v>2.2359023191007001E-2</v>
      </c>
      <c r="BL35" s="19">
        <v>2.368592247644797E-4</v>
      </c>
      <c r="BM35" s="19">
        <v>1.7343379628149439E-3</v>
      </c>
      <c r="BN35" s="19">
        <v>2413</v>
      </c>
      <c r="BO35" s="19">
        <v>2.248842322846354E-2</v>
      </c>
      <c r="BP35" s="19">
        <v>2.5738184476018552E-2</v>
      </c>
      <c r="BQ35" s="19">
        <v>5.8363618163806896E-3</v>
      </c>
      <c r="BR35" s="19">
        <v>2388</v>
      </c>
      <c r="BS35" s="19">
        <v>2.2356148708259228E-2</v>
      </c>
      <c r="BT35" s="19">
        <v>1.9381234128060761E-4</v>
      </c>
      <c r="BU35" s="19">
        <v>6.2982720998785496E-3</v>
      </c>
      <c r="BV35" s="19">
        <v>2399</v>
      </c>
      <c r="BW35" s="19">
        <v>0</v>
      </c>
      <c r="BX35" s="19">
        <v>0</v>
      </c>
      <c r="BY35" s="19">
        <v>6.3718090757025744E-3</v>
      </c>
      <c r="BZ35" s="19">
        <v>2399</v>
      </c>
      <c r="CA35" s="4"/>
      <c r="CB35" s="19">
        <v>500</v>
      </c>
      <c r="CC35" s="4"/>
      <c r="CD35" s="4"/>
      <c r="CE35" s="4"/>
      <c r="CF35" s="4"/>
      <c r="CG35" s="4"/>
      <c r="CH35" s="4"/>
      <c r="CI35" s="4"/>
      <c r="CJ35" s="4"/>
      <c r="CK35" s="4"/>
      <c r="CL35" s="4"/>
      <c r="CM35" s="4"/>
      <c r="CN35" s="4"/>
      <c r="CO35" s="4"/>
      <c r="CP35" s="4"/>
      <c r="CQ35" s="19">
        <v>2</v>
      </c>
      <c r="CR35" s="19">
        <v>500</v>
      </c>
      <c r="CS35" s="4" t="s">
        <v>298</v>
      </c>
      <c r="CT35" s="4"/>
      <c r="CU35" s="4"/>
    </row>
    <row r="36" spans="1:99" x14ac:dyDescent="0.3">
      <c r="A36" s="4" t="s">
        <v>58</v>
      </c>
      <c r="B36" s="4" t="s">
        <v>530</v>
      </c>
      <c r="C36" s="4" t="s">
        <v>304</v>
      </c>
      <c r="D36" s="4" t="s">
        <v>47</v>
      </c>
      <c r="E36" s="4" t="s">
        <v>48</v>
      </c>
      <c r="F36" s="19">
        <v>3</v>
      </c>
      <c r="G36" s="19">
        <v>2</v>
      </c>
      <c r="H36" s="19">
        <v>6</v>
      </c>
      <c r="I36" s="19">
        <v>6</v>
      </c>
      <c r="J36" s="4" t="s">
        <v>521</v>
      </c>
      <c r="K36" s="4" t="s">
        <v>155</v>
      </c>
      <c r="L36" s="19">
        <v>50</v>
      </c>
      <c r="M36" s="19">
        <v>2308</v>
      </c>
      <c r="N36" s="19">
        <v>7.5168209066666658E-2</v>
      </c>
      <c r="O36" s="19">
        <v>7.6184593066666653E-2</v>
      </c>
      <c r="P36" s="19">
        <v>99.883627139764769</v>
      </c>
      <c r="Q36" s="19">
        <v>99.883627139764769</v>
      </c>
      <c r="R36" s="19">
        <v>78.756081229568238</v>
      </c>
      <c r="S36" s="19">
        <v>99.883627139764783</v>
      </c>
      <c r="T36" s="19">
        <v>78.756081229568238</v>
      </c>
      <c r="U36" s="19">
        <v>48.538037058428543</v>
      </c>
      <c r="V36" s="19">
        <v>0.12439215183258059</v>
      </c>
      <c r="W36" s="19">
        <v>0.13046048879623409</v>
      </c>
      <c r="X36" s="19">
        <v>0.1223103385450935</v>
      </c>
      <c r="Y36" s="19">
        <v>0.58946129929577473</v>
      </c>
      <c r="Z36" s="19">
        <v>329</v>
      </c>
      <c r="AA36" s="19">
        <v>1</v>
      </c>
      <c r="AB36" s="19">
        <v>37</v>
      </c>
      <c r="AC36" s="19">
        <v>6</v>
      </c>
      <c r="AD36" s="19">
        <v>0.4859458797036918</v>
      </c>
      <c r="AE36" s="19">
        <v>1.632773069007917</v>
      </c>
      <c r="AF36" s="4" t="s">
        <v>522</v>
      </c>
      <c r="AG36" s="19">
        <v>42</v>
      </c>
      <c r="AH36" s="19">
        <v>32</v>
      </c>
      <c r="AI36" s="19">
        <v>8</v>
      </c>
      <c r="AJ36" s="19">
        <v>5</v>
      </c>
      <c r="AK36" s="19">
        <v>1000</v>
      </c>
      <c r="AL36" s="19">
        <v>4000</v>
      </c>
      <c r="AM36" s="4" t="s">
        <v>525</v>
      </c>
      <c r="AN36" s="19">
        <v>1</v>
      </c>
      <c r="AO36" s="19">
        <v>1</v>
      </c>
      <c r="AP36" s="19">
        <v>39.910489251370898</v>
      </c>
      <c r="AQ36" s="19">
        <v>79.820978502741795</v>
      </c>
      <c r="AR36" s="19">
        <v>1.016384E-3</v>
      </c>
      <c r="AS36" s="19">
        <v>0</v>
      </c>
      <c r="AT36" s="19">
        <v>9.2744781970977783</v>
      </c>
      <c r="AU36" s="19">
        <v>56.824814796447747</v>
      </c>
      <c r="AV36" s="19">
        <v>47.550336599349983</v>
      </c>
      <c r="AW36" s="19">
        <v>2651</v>
      </c>
      <c r="AX36" s="19">
        <v>0.69052259206771804</v>
      </c>
      <c r="AY36" s="19">
        <v>336</v>
      </c>
      <c r="AZ36" s="19">
        <v>39</v>
      </c>
      <c r="BA36" s="19">
        <v>3.654674768447876</v>
      </c>
      <c r="BB36" s="19">
        <v>3.6570248603820801</v>
      </c>
      <c r="BC36" s="19">
        <v>1.6054471596122291</v>
      </c>
      <c r="BD36" s="19">
        <v>2272</v>
      </c>
      <c r="BE36" s="19">
        <v>3.6570248603820801</v>
      </c>
      <c r="BF36" s="19">
        <v>51.761872367059247</v>
      </c>
      <c r="BG36" s="19">
        <v>0.1243896484375</v>
      </c>
      <c r="BH36" s="19">
        <v>0.1163263464687576</v>
      </c>
      <c r="BI36" s="19">
        <v>44</v>
      </c>
      <c r="BJ36" s="19">
        <v>6</v>
      </c>
      <c r="BK36" s="19">
        <v>2.2120655498406989E-2</v>
      </c>
      <c r="BL36" s="19">
        <v>4.9165328614947737E-4</v>
      </c>
      <c r="BM36" s="19">
        <v>1.992873669484369E-3</v>
      </c>
      <c r="BN36" s="19">
        <v>2344</v>
      </c>
      <c r="BO36" s="19">
        <v>2.201129165967582E-2</v>
      </c>
      <c r="BP36" s="19">
        <v>2.5110639456973501E-2</v>
      </c>
      <c r="BQ36" s="19">
        <v>6.3711598476671738E-3</v>
      </c>
      <c r="BR36" s="19">
        <v>2302</v>
      </c>
      <c r="BS36" s="19">
        <v>2.2437627125447501E-2</v>
      </c>
      <c r="BT36" s="19">
        <v>2.1725996321574041E-4</v>
      </c>
      <c r="BU36" s="19">
        <v>6.0409087448847357E-3</v>
      </c>
      <c r="BV36" s="19">
        <v>2308</v>
      </c>
      <c r="BW36" s="19">
        <v>0</v>
      </c>
      <c r="BX36" s="19">
        <v>0</v>
      </c>
      <c r="BY36" s="19">
        <v>5.8332300475399867E-3</v>
      </c>
      <c r="BZ36" s="19">
        <v>2308</v>
      </c>
      <c r="CA36" s="4"/>
      <c r="CB36" s="19">
        <v>500</v>
      </c>
      <c r="CC36" s="4"/>
      <c r="CD36" s="4"/>
      <c r="CE36" s="4"/>
      <c r="CF36" s="4"/>
      <c r="CG36" s="4"/>
      <c r="CH36" s="4"/>
      <c r="CI36" s="4"/>
      <c r="CJ36" s="4"/>
      <c r="CK36" s="4"/>
      <c r="CL36" s="4"/>
      <c r="CM36" s="4"/>
      <c r="CN36" s="4"/>
      <c r="CO36" s="4"/>
      <c r="CP36" s="4"/>
      <c r="CQ36" s="19">
        <v>2</v>
      </c>
      <c r="CR36" s="19">
        <v>1000</v>
      </c>
      <c r="CS36" s="4" t="s">
        <v>298</v>
      </c>
      <c r="CT36" s="4"/>
      <c r="CU36" s="4"/>
    </row>
    <row r="37" spans="1:99" x14ac:dyDescent="0.3">
      <c r="A37" s="4" t="s">
        <v>58</v>
      </c>
      <c r="B37" s="4" t="s">
        <v>531</v>
      </c>
      <c r="C37" s="4" t="s">
        <v>305</v>
      </c>
      <c r="D37" s="4" t="s">
        <v>47</v>
      </c>
      <c r="E37" s="4" t="s">
        <v>48</v>
      </c>
      <c r="F37" s="19">
        <v>3</v>
      </c>
      <c r="G37" s="19">
        <v>3</v>
      </c>
      <c r="H37" s="19">
        <v>9</v>
      </c>
      <c r="I37" s="19">
        <v>6</v>
      </c>
      <c r="J37" s="4" t="s">
        <v>521</v>
      </c>
      <c r="K37" s="4" t="s">
        <v>155</v>
      </c>
      <c r="L37" s="19">
        <v>50</v>
      </c>
      <c r="M37" s="19">
        <v>3218</v>
      </c>
      <c r="N37" s="19">
        <v>7.5168209066666658E-2</v>
      </c>
      <c r="O37" s="19">
        <v>7.6184593066666653E-2</v>
      </c>
      <c r="P37" s="19">
        <v>149.82544070964721</v>
      </c>
      <c r="Q37" s="19">
        <v>99.883627139764769</v>
      </c>
      <c r="R37" s="19">
        <v>78.756081229568238</v>
      </c>
      <c r="S37" s="19">
        <v>149.82544070964721</v>
      </c>
      <c r="T37" s="19">
        <v>78.756081229568238</v>
      </c>
      <c r="U37" s="19">
        <v>67.748958858091356</v>
      </c>
      <c r="V37" s="19">
        <v>8.3804011344909668E-2</v>
      </c>
      <c r="W37" s="19">
        <v>8.8184010982513425E-2</v>
      </c>
      <c r="X37" s="19">
        <v>8.9171037457610153E-2</v>
      </c>
      <c r="Y37" s="19">
        <v>0.49052090767519468</v>
      </c>
      <c r="Z37" s="19">
        <v>432</v>
      </c>
      <c r="AA37" s="19">
        <v>0</v>
      </c>
      <c r="AB37" s="19">
        <v>9</v>
      </c>
      <c r="AC37" s="19">
        <v>2</v>
      </c>
      <c r="AD37" s="19">
        <v>0.4521859474412282</v>
      </c>
      <c r="AE37" s="19">
        <v>1.100012587473894</v>
      </c>
      <c r="AF37" s="4" t="s">
        <v>522</v>
      </c>
      <c r="AG37" s="19">
        <v>42</v>
      </c>
      <c r="AH37" s="19">
        <v>32</v>
      </c>
      <c r="AI37" s="19">
        <v>8</v>
      </c>
      <c r="AJ37" s="19">
        <v>5</v>
      </c>
      <c r="AK37" s="19">
        <v>250</v>
      </c>
      <c r="AL37" s="19">
        <v>1000</v>
      </c>
      <c r="AM37" s="4" t="s">
        <v>525</v>
      </c>
      <c r="AN37" s="19">
        <v>1</v>
      </c>
      <c r="AO37" s="19">
        <v>1</v>
      </c>
      <c r="AP37" s="19">
        <v>39.910489251370898</v>
      </c>
      <c r="AQ37" s="19">
        <v>119.7314677541127</v>
      </c>
      <c r="AR37" s="19">
        <v>1.016384E-3</v>
      </c>
      <c r="AS37" s="19">
        <v>0</v>
      </c>
      <c r="AT37" s="19">
        <v>10.047988414764401</v>
      </c>
      <c r="AU37" s="19">
        <v>57.546873331069953</v>
      </c>
      <c r="AV37" s="19">
        <v>47.498884916305542</v>
      </c>
      <c r="AW37" s="19">
        <v>3486</v>
      </c>
      <c r="AX37" s="19">
        <v>0.1250225734710689</v>
      </c>
      <c r="AY37" s="19">
        <v>437</v>
      </c>
      <c r="AZ37" s="19">
        <v>9</v>
      </c>
      <c r="BA37" s="19">
        <v>0.48678398132324219</v>
      </c>
      <c r="BB37" s="19">
        <v>0.49869370460510248</v>
      </c>
      <c r="BC37" s="19">
        <v>1.170460244889403</v>
      </c>
      <c r="BD37" s="19">
        <v>3208</v>
      </c>
      <c r="BE37" s="19">
        <v>0.49869370460510248</v>
      </c>
      <c r="BF37" s="19">
        <v>68.255041464626771</v>
      </c>
      <c r="BG37" s="19">
        <v>8.3800077438354492E-2</v>
      </c>
      <c r="BH37" s="19">
        <v>8.8825561087624988E-2</v>
      </c>
      <c r="BI37" s="19">
        <v>25</v>
      </c>
      <c r="BJ37" s="19">
        <v>9</v>
      </c>
      <c r="BK37" s="19">
        <v>2.236506786594911E-2</v>
      </c>
      <c r="BL37" s="19">
        <v>2.6118415165184161E-4</v>
      </c>
      <c r="BM37" s="19">
        <v>1.6852010864182091E-3</v>
      </c>
      <c r="BN37" s="19">
        <v>3224</v>
      </c>
      <c r="BO37" s="19">
        <v>2.1958299950182471E-2</v>
      </c>
      <c r="BP37" s="19">
        <v>3.5199380173175769E-4</v>
      </c>
      <c r="BQ37" s="19">
        <v>5.9922590119243779E-3</v>
      </c>
      <c r="BR37" s="19">
        <v>3214</v>
      </c>
      <c r="BS37" s="19">
        <v>2.167692990787733E-2</v>
      </c>
      <c r="BT37" s="19">
        <v>1.9505515319425789E-4</v>
      </c>
      <c r="BU37" s="19">
        <v>5.9789701911800571E-3</v>
      </c>
      <c r="BV37" s="19">
        <v>3217</v>
      </c>
      <c r="BW37" s="19">
        <v>0</v>
      </c>
      <c r="BX37" s="19">
        <v>0</v>
      </c>
      <c r="BY37" s="19">
        <v>6.0129528685783744E-3</v>
      </c>
      <c r="BZ37" s="19">
        <v>3218</v>
      </c>
      <c r="CA37" s="4"/>
      <c r="CB37" s="19">
        <v>500</v>
      </c>
      <c r="CC37" s="4"/>
      <c r="CD37" s="4"/>
      <c r="CE37" s="4"/>
      <c r="CF37" s="4"/>
      <c r="CG37" s="4"/>
      <c r="CH37" s="4"/>
      <c r="CI37" s="4"/>
      <c r="CJ37" s="4"/>
      <c r="CK37" s="4"/>
      <c r="CL37" s="4"/>
      <c r="CM37" s="4"/>
      <c r="CN37" s="4"/>
      <c r="CO37" s="4"/>
      <c r="CP37" s="4"/>
      <c r="CQ37" s="19">
        <v>3</v>
      </c>
      <c r="CR37" s="19">
        <v>250</v>
      </c>
      <c r="CS37" s="4" t="s">
        <v>298</v>
      </c>
      <c r="CT37" s="4"/>
      <c r="CU37" s="4"/>
    </row>
    <row r="38" spans="1:99" x14ac:dyDescent="0.3">
      <c r="A38" s="4" t="s">
        <v>58</v>
      </c>
      <c r="B38" s="4" t="s">
        <v>532</v>
      </c>
      <c r="C38" s="4" t="s">
        <v>306</v>
      </c>
      <c r="D38" s="4" t="s">
        <v>47</v>
      </c>
      <c r="E38" s="4" t="s">
        <v>48</v>
      </c>
      <c r="F38" s="19">
        <v>3</v>
      </c>
      <c r="G38" s="19">
        <v>3</v>
      </c>
      <c r="H38" s="19">
        <v>9</v>
      </c>
      <c r="I38" s="19">
        <v>6</v>
      </c>
      <c r="J38" s="4" t="s">
        <v>521</v>
      </c>
      <c r="K38" s="4" t="s">
        <v>155</v>
      </c>
      <c r="L38" s="19">
        <v>50</v>
      </c>
      <c r="M38" s="19">
        <v>3177</v>
      </c>
      <c r="N38" s="19">
        <v>7.5168209066666658E-2</v>
      </c>
      <c r="O38" s="19">
        <v>7.6184593066666653E-2</v>
      </c>
      <c r="P38" s="19">
        <v>149.82544070964721</v>
      </c>
      <c r="Q38" s="19">
        <v>99.883627139764769</v>
      </c>
      <c r="R38" s="19">
        <v>78.756081229568238</v>
      </c>
      <c r="S38" s="19">
        <v>149.82544070964721</v>
      </c>
      <c r="T38" s="19">
        <v>78.756081229568238</v>
      </c>
      <c r="U38" s="19">
        <v>66.889216404044419</v>
      </c>
      <c r="V38" s="19">
        <v>8.3982944488525391E-2</v>
      </c>
      <c r="W38" s="19">
        <v>8.8665008544921875E-2</v>
      </c>
      <c r="X38" s="19">
        <v>8.893394275097341E-2</v>
      </c>
      <c r="Y38" s="19">
        <v>0.48120951662971179</v>
      </c>
      <c r="Z38" s="19">
        <v>425</v>
      </c>
      <c r="AA38" s="19">
        <v>1</v>
      </c>
      <c r="AB38" s="19">
        <v>13</v>
      </c>
      <c r="AC38" s="19">
        <v>2</v>
      </c>
      <c r="AD38" s="19">
        <v>0.44644765326385227</v>
      </c>
      <c r="AE38" s="19">
        <v>1.102361266339438</v>
      </c>
      <c r="AF38" s="4" t="s">
        <v>522</v>
      </c>
      <c r="AG38" s="19">
        <v>42</v>
      </c>
      <c r="AH38" s="19">
        <v>32</v>
      </c>
      <c r="AI38" s="19">
        <v>8</v>
      </c>
      <c r="AJ38" s="19">
        <v>5</v>
      </c>
      <c r="AK38" s="19">
        <v>500</v>
      </c>
      <c r="AL38" s="19">
        <v>2000</v>
      </c>
      <c r="AM38" s="4" t="s">
        <v>525</v>
      </c>
      <c r="AN38" s="19">
        <v>1</v>
      </c>
      <c r="AO38" s="19">
        <v>1</v>
      </c>
      <c r="AP38" s="19">
        <v>39.910489251370898</v>
      </c>
      <c r="AQ38" s="19">
        <v>119.7314677541127</v>
      </c>
      <c r="AR38" s="19">
        <v>1.016384E-3</v>
      </c>
      <c r="AS38" s="19">
        <v>0</v>
      </c>
      <c r="AT38" s="19">
        <v>9.4405412673950195</v>
      </c>
      <c r="AU38" s="19">
        <v>56.936986446380622</v>
      </c>
      <c r="AV38" s="19">
        <v>47.496445178985603</v>
      </c>
      <c r="AW38" s="19">
        <v>3435</v>
      </c>
      <c r="AX38" s="19">
        <v>9.5542783737182516E-2</v>
      </c>
      <c r="AY38" s="19">
        <v>432</v>
      </c>
      <c r="AZ38" s="19">
        <v>16</v>
      </c>
      <c r="BA38" s="19">
        <v>1.3712108135223391</v>
      </c>
      <c r="BB38" s="19">
        <v>1.4027454853057859</v>
      </c>
      <c r="BC38" s="19">
        <v>1.1673481365602389</v>
      </c>
      <c r="BD38" s="19">
        <v>3152</v>
      </c>
      <c r="BE38" s="19">
        <v>1.4027454853057859</v>
      </c>
      <c r="BF38" s="19">
        <v>68.382447513367865</v>
      </c>
      <c r="BG38" s="19">
        <v>8.3975076675415039E-2</v>
      </c>
      <c r="BH38" s="19">
        <v>8.7530920423832037E-2</v>
      </c>
      <c r="BI38" s="19">
        <v>23</v>
      </c>
      <c r="BJ38" s="19">
        <v>9</v>
      </c>
      <c r="BK38" s="19">
        <v>2.1660926613569779E-2</v>
      </c>
      <c r="BL38" s="19">
        <v>2.1517729362724791E-4</v>
      </c>
      <c r="BM38" s="19">
        <v>1.6995120430052519E-3</v>
      </c>
      <c r="BN38" s="19">
        <v>3187</v>
      </c>
      <c r="BO38" s="19">
        <v>2.1435458050917379E-2</v>
      </c>
      <c r="BP38" s="19">
        <v>3.2146059752262733E-4</v>
      </c>
      <c r="BQ38" s="19">
        <v>5.7998982137686074E-3</v>
      </c>
      <c r="BR38" s="19">
        <v>3170</v>
      </c>
      <c r="BS38" s="19">
        <v>2.190136534258897E-2</v>
      </c>
      <c r="BT38" s="19">
        <v>2.021148664830502E-4</v>
      </c>
      <c r="BU38" s="19">
        <v>5.9858963179595824E-3</v>
      </c>
      <c r="BV38" s="19">
        <v>3177</v>
      </c>
      <c r="BW38" s="19">
        <v>0</v>
      </c>
      <c r="BX38" s="19">
        <v>0</v>
      </c>
      <c r="BY38" s="19">
        <v>6.0879284381716364E-3</v>
      </c>
      <c r="BZ38" s="19">
        <v>3177</v>
      </c>
      <c r="CA38" s="4"/>
      <c r="CB38" s="19">
        <v>500</v>
      </c>
      <c r="CC38" s="4"/>
      <c r="CD38" s="4"/>
      <c r="CE38" s="4"/>
      <c r="CF38" s="4"/>
      <c r="CG38" s="4"/>
      <c r="CH38" s="4"/>
      <c r="CI38" s="4"/>
      <c r="CJ38" s="4"/>
      <c r="CK38" s="4"/>
      <c r="CL38" s="4"/>
      <c r="CM38" s="4"/>
      <c r="CN38" s="4"/>
      <c r="CO38" s="4"/>
      <c r="CP38" s="4"/>
      <c r="CQ38" s="19">
        <v>3</v>
      </c>
      <c r="CR38" s="19">
        <v>500</v>
      </c>
      <c r="CS38" s="4" t="s">
        <v>298</v>
      </c>
      <c r="CT38" s="4"/>
      <c r="CU38" s="4"/>
    </row>
    <row r="39" spans="1:99" x14ac:dyDescent="0.3">
      <c r="A39" s="4" t="s">
        <v>58</v>
      </c>
      <c r="B39" s="4" t="s">
        <v>533</v>
      </c>
      <c r="C39" s="4" t="s">
        <v>307</v>
      </c>
      <c r="D39" s="4" t="s">
        <v>47</v>
      </c>
      <c r="E39" s="4" t="s">
        <v>48</v>
      </c>
      <c r="F39" s="19">
        <v>3</v>
      </c>
      <c r="G39" s="19">
        <v>3</v>
      </c>
      <c r="H39" s="19">
        <v>9</v>
      </c>
      <c r="I39" s="19">
        <v>6</v>
      </c>
      <c r="J39" s="4" t="s">
        <v>521</v>
      </c>
      <c r="K39" s="4" t="s">
        <v>155</v>
      </c>
      <c r="L39" s="19">
        <v>50</v>
      </c>
      <c r="M39" s="19">
        <v>2971</v>
      </c>
      <c r="N39" s="19">
        <v>7.5168209066666658E-2</v>
      </c>
      <c r="O39" s="19">
        <v>7.6184593066666653E-2</v>
      </c>
      <c r="P39" s="19">
        <v>149.82544070964721</v>
      </c>
      <c r="Q39" s="19">
        <v>99.883627139764769</v>
      </c>
      <c r="R39" s="19">
        <v>78.756081229568238</v>
      </c>
      <c r="S39" s="19">
        <v>149.82544070964721</v>
      </c>
      <c r="T39" s="19">
        <v>78.756081229568238</v>
      </c>
      <c r="U39" s="19">
        <v>64.213686853464793</v>
      </c>
      <c r="V39" s="19">
        <v>8.3921909332275391E-2</v>
      </c>
      <c r="W39" s="19">
        <v>8.8715314865112305E-2</v>
      </c>
      <c r="X39" s="19">
        <v>9.3166867958821259E-2</v>
      </c>
      <c r="Y39" s="19">
        <v>0.47229360179977498</v>
      </c>
      <c r="Z39" s="19">
        <v>411</v>
      </c>
      <c r="AA39" s="19">
        <v>0</v>
      </c>
      <c r="AB39" s="19">
        <v>36</v>
      </c>
      <c r="AC39" s="19">
        <v>6</v>
      </c>
      <c r="AD39" s="19">
        <v>0.4285900081409213</v>
      </c>
      <c r="AE39" s="19">
        <v>1.1015601180521899</v>
      </c>
      <c r="AF39" s="4" t="s">
        <v>522</v>
      </c>
      <c r="AG39" s="19">
        <v>42</v>
      </c>
      <c r="AH39" s="19">
        <v>32</v>
      </c>
      <c r="AI39" s="19">
        <v>8</v>
      </c>
      <c r="AJ39" s="19">
        <v>5</v>
      </c>
      <c r="AK39" s="19">
        <v>1000</v>
      </c>
      <c r="AL39" s="19">
        <v>4000</v>
      </c>
      <c r="AM39" s="4" t="s">
        <v>525</v>
      </c>
      <c r="AN39" s="19">
        <v>1</v>
      </c>
      <c r="AO39" s="19">
        <v>1</v>
      </c>
      <c r="AP39" s="19">
        <v>39.910489251370898</v>
      </c>
      <c r="AQ39" s="19">
        <v>119.7314677541127</v>
      </c>
      <c r="AR39" s="19">
        <v>1.016384E-3</v>
      </c>
      <c r="AS39" s="19">
        <v>0</v>
      </c>
      <c r="AT39" s="19">
        <v>10.642791032791139</v>
      </c>
      <c r="AU39" s="19">
        <v>56.910185813903809</v>
      </c>
      <c r="AV39" s="19">
        <v>46.267394781112671</v>
      </c>
      <c r="AW39" s="19">
        <v>3317</v>
      </c>
      <c r="AX39" s="19">
        <v>0.64379177093505857</v>
      </c>
      <c r="AY39" s="19">
        <v>417</v>
      </c>
      <c r="AZ39" s="19">
        <v>35</v>
      </c>
      <c r="BA39" s="19">
        <v>3.7315282821655269</v>
      </c>
      <c r="BB39" s="19">
        <v>3.7511370182037349</v>
      </c>
      <c r="BC39" s="19">
        <v>1.222909570144898</v>
      </c>
      <c r="BD39" s="19">
        <v>2907</v>
      </c>
      <c r="BE39" s="19">
        <v>3.7511370182037349</v>
      </c>
      <c r="BF39" s="19">
        <v>68.373844570489425</v>
      </c>
      <c r="BG39" s="19">
        <v>8.3900213241577148E-2</v>
      </c>
      <c r="BH39" s="19">
        <v>8.7686313728224913E-2</v>
      </c>
      <c r="BI39" s="19">
        <v>44</v>
      </c>
      <c r="BJ39" s="19">
        <v>9</v>
      </c>
      <c r="BK39" s="19">
        <v>2.1474665474796421E-2</v>
      </c>
      <c r="BL39" s="19">
        <v>2.204688506501016E-4</v>
      </c>
      <c r="BM39" s="19">
        <v>1.7017327675647969E-3</v>
      </c>
      <c r="BN39" s="19">
        <v>3004</v>
      </c>
      <c r="BO39" s="19">
        <v>2.164793584867308E-2</v>
      </c>
      <c r="BP39" s="19">
        <v>3.1217482854735179E-4</v>
      </c>
      <c r="BQ39" s="19">
        <v>6.002295692011995E-3</v>
      </c>
      <c r="BR39" s="19">
        <v>2968</v>
      </c>
      <c r="BS39" s="19">
        <v>2.1718745841723099E-2</v>
      </c>
      <c r="BT39" s="19">
        <v>1.8592715664744779E-4</v>
      </c>
      <c r="BU39" s="19">
        <v>5.7821645479812361E-3</v>
      </c>
      <c r="BV39" s="19">
        <v>2970</v>
      </c>
      <c r="BW39" s="19">
        <v>0</v>
      </c>
      <c r="BX39" s="19">
        <v>0</v>
      </c>
      <c r="BY39" s="19">
        <v>6.0744194902582456E-3</v>
      </c>
      <c r="BZ39" s="19">
        <v>2971</v>
      </c>
      <c r="CA39" s="4"/>
      <c r="CB39" s="19">
        <v>500</v>
      </c>
      <c r="CC39" s="4"/>
      <c r="CD39" s="4"/>
      <c r="CE39" s="4"/>
      <c r="CF39" s="4"/>
      <c r="CG39" s="4"/>
      <c r="CH39" s="4"/>
      <c r="CI39" s="4"/>
      <c r="CJ39" s="4"/>
      <c r="CK39" s="4"/>
      <c r="CL39" s="4"/>
      <c r="CM39" s="4"/>
      <c r="CN39" s="4"/>
      <c r="CO39" s="4"/>
      <c r="CP39" s="4"/>
      <c r="CQ39" s="19">
        <v>3</v>
      </c>
      <c r="CR39" s="19">
        <v>1000</v>
      </c>
      <c r="CS39" s="4" t="s">
        <v>298</v>
      </c>
      <c r="CT39" s="4"/>
      <c r="CU39" s="4"/>
    </row>
    <row r="40" spans="1:99" x14ac:dyDescent="0.3">
      <c r="A40" s="4" t="s">
        <v>58</v>
      </c>
      <c r="B40" s="4" t="s">
        <v>534</v>
      </c>
      <c r="C40" s="4" t="s">
        <v>309</v>
      </c>
      <c r="D40" s="4" t="s">
        <v>47</v>
      </c>
      <c r="E40" s="4" t="s">
        <v>48</v>
      </c>
      <c r="F40" s="19">
        <v>3</v>
      </c>
      <c r="G40" s="19">
        <v>2</v>
      </c>
      <c r="H40" s="19">
        <v>6</v>
      </c>
      <c r="I40" s="19">
        <v>6</v>
      </c>
      <c r="J40" s="4" t="s">
        <v>521</v>
      </c>
      <c r="K40" s="4" t="s">
        <v>155</v>
      </c>
      <c r="L40" s="19">
        <v>50</v>
      </c>
      <c r="M40" s="19">
        <v>2423</v>
      </c>
      <c r="N40" s="19">
        <v>7.5168209066666658E-2</v>
      </c>
      <c r="O40" s="19">
        <v>7.6184593066666653E-2</v>
      </c>
      <c r="P40" s="19">
        <v>99.883627139764769</v>
      </c>
      <c r="Q40" s="19">
        <v>99.883627139764769</v>
      </c>
      <c r="R40" s="19">
        <v>78.756081229568238</v>
      </c>
      <c r="S40" s="19">
        <v>99.883627139764783</v>
      </c>
      <c r="T40" s="19">
        <v>78.756081229568238</v>
      </c>
      <c r="U40" s="19">
        <v>52.286781128881678</v>
      </c>
      <c r="V40" s="19">
        <v>0.12444567680358889</v>
      </c>
      <c r="W40" s="19">
        <v>0.1304708480834961</v>
      </c>
      <c r="X40" s="19">
        <v>0.1136537076420298</v>
      </c>
      <c r="Y40" s="19">
        <v>0.60674448173913043</v>
      </c>
      <c r="Z40" s="19">
        <v>344</v>
      </c>
      <c r="AA40" s="19">
        <v>2</v>
      </c>
      <c r="AB40" s="19">
        <v>23</v>
      </c>
      <c r="AC40" s="19">
        <v>2</v>
      </c>
      <c r="AD40" s="19">
        <v>0.5234769964422501</v>
      </c>
      <c r="AE40" s="19">
        <v>1.6334756385020071</v>
      </c>
      <c r="AF40" s="4" t="s">
        <v>522</v>
      </c>
      <c r="AG40" s="19">
        <v>42</v>
      </c>
      <c r="AH40" s="19">
        <v>32</v>
      </c>
      <c r="AI40" s="19">
        <v>8</v>
      </c>
      <c r="AJ40" s="19">
        <v>5</v>
      </c>
      <c r="AK40" s="19">
        <v>500</v>
      </c>
      <c r="AL40" s="19">
        <v>2000</v>
      </c>
      <c r="AM40" s="4" t="s">
        <v>525</v>
      </c>
      <c r="AN40" s="19">
        <v>1</v>
      </c>
      <c r="AO40" s="19">
        <v>1</v>
      </c>
      <c r="AP40" s="19">
        <v>39.910489251370898</v>
      </c>
      <c r="AQ40" s="19">
        <v>79.820978502741795</v>
      </c>
      <c r="AR40" s="19">
        <v>1.016384E-3</v>
      </c>
      <c r="AS40" s="19">
        <v>0</v>
      </c>
      <c r="AT40" s="19">
        <v>10.37820267677307</v>
      </c>
      <c r="AU40" s="19">
        <v>56.71878719329834</v>
      </c>
      <c r="AV40" s="19">
        <v>46.340584516525269</v>
      </c>
      <c r="AW40" s="19">
        <v>2768</v>
      </c>
      <c r="AX40" s="19">
        <v>0.39227050304412858</v>
      </c>
      <c r="AY40" s="19">
        <v>350</v>
      </c>
      <c r="AZ40" s="19">
        <v>28</v>
      </c>
      <c r="BA40" s="19">
        <v>1.4750518798828121</v>
      </c>
      <c r="BB40" s="19">
        <v>1.492393493652344</v>
      </c>
      <c r="BC40" s="19">
        <v>1.491820105182883</v>
      </c>
      <c r="BD40" s="19">
        <v>2399</v>
      </c>
      <c r="BE40" s="19">
        <v>1.492393493652344</v>
      </c>
      <c r="BF40" s="19">
        <v>53.491566667125802</v>
      </c>
      <c r="BG40" s="19">
        <v>0.1244504451751709</v>
      </c>
      <c r="BH40" s="19">
        <v>0.1121778263554766</v>
      </c>
      <c r="BI40" s="19">
        <v>15</v>
      </c>
      <c r="BJ40" s="19">
        <v>6</v>
      </c>
      <c r="BK40" s="19">
        <v>2.1557056144172072E-2</v>
      </c>
      <c r="BL40" s="19">
        <v>2.0753499729181431E-4</v>
      </c>
      <c r="BM40" s="19">
        <v>1.740448128164204E-3</v>
      </c>
      <c r="BN40" s="19">
        <v>2448</v>
      </c>
      <c r="BO40" s="19">
        <v>2.1441453337422561E-2</v>
      </c>
      <c r="BP40" s="19">
        <v>2.4746112843231138E-2</v>
      </c>
      <c r="BQ40" s="19">
        <v>5.8436871562191663E-3</v>
      </c>
      <c r="BR40" s="19">
        <v>2415</v>
      </c>
      <c r="BS40" s="19">
        <v>2.1586654799268901E-2</v>
      </c>
      <c r="BT40" s="19">
        <v>1.9930297561878511E-4</v>
      </c>
      <c r="BU40" s="19">
        <v>6.0356107074959536E-3</v>
      </c>
      <c r="BV40" s="19">
        <v>2423</v>
      </c>
      <c r="BW40" s="19">
        <v>0</v>
      </c>
      <c r="BX40" s="19">
        <v>0</v>
      </c>
      <c r="BY40" s="19">
        <v>6.0468972639460923E-3</v>
      </c>
      <c r="BZ40" s="19">
        <v>2423</v>
      </c>
      <c r="CA40" s="4"/>
      <c r="CB40" s="19">
        <v>250</v>
      </c>
      <c r="CC40" s="4"/>
      <c r="CD40" s="4"/>
      <c r="CE40" s="4"/>
      <c r="CF40" s="4"/>
      <c r="CG40" s="4"/>
      <c r="CH40" s="4"/>
      <c r="CI40" s="4"/>
      <c r="CJ40" s="4"/>
      <c r="CK40" s="4"/>
      <c r="CL40" s="4"/>
      <c r="CM40" s="4"/>
      <c r="CN40" s="4"/>
      <c r="CO40" s="4"/>
      <c r="CP40" s="4"/>
      <c r="CQ40" s="19">
        <v>2</v>
      </c>
      <c r="CR40" s="19">
        <v>500</v>
      </c>
      <c r="CS40" s="4" t="s">
        <v>308</v>
      </c>
      <c r="CT40" s="4"/>
      <c r="CU40" s="4"/>
    </row>
    <row r="41" spans="1:99" x14ac:dyDescent="0.3">
      <c r="A41" s="4" t="s">
        <v>58</v>
      </c>
      <c r="B41" s="4" t="s">
        <v>535</v>
      </c>
      <c r="C41" s="4" t="s">
        <v>310</v>
      </c>
      <c r="D41" s="4" t="s">
        <v>47</v>
      </c>
      <c r="E41" s="4" t="s">
        <v>48</v>
      </c>
      <c r="F41" s="19">
        <v>3</v>
      </c>
      <c r="G41" s="19">
        <v>2</v>
      </c>
      <c r="H41" s="19">
        <v>6</v>
      </c>
      <c r="I41" s="19">
        <v>6</v>
      </c>
      <c r="J41" s="4" t="s">
        <v>521</v>
      </c>
      <c r="K41" s="4" t="s">
        <v>155</v>
      </c>
      <c r="L41" s="19">
        <v>50</v>
      </c>
      <c r="M41" s="19">
        <v>2386</v>
      </c>
      <c r="N41" s="19">
        <v>7.5168209066666658E-2</v>
      </c>
      <c r="O41" s="19">
        <v>7.6184593066666653E-2</v>
      </c>
      <c r="P41" s="19">
        <v>99.883627139764769</v>
      </c>
      <c r="Q41" s="19">
        <v>99.883627139764769</v>
      </c>
      <c r="R41" s="19">
        <v>78.756081229568238</v>
      </c>
      <c r="S41" s="19">
        <v>99.883627139764783</v>
      </c>
      <c r="T41" s="19">
        <v>78.756081229568238</v>
      </c>
      <c r="U41" s="19">
        <v>51.534523742163003</v>
      </c>
      <c r="V41" s="19">
        <v>0.1238341331481934</v>
      </c>
      <c r="W41" s="19">
        <v>0.1303669810295105</v>
      </c>
      <c r="X41" s="19">
        <v>0.1161427485872894</v>
      </c>
      <c r="Y41" s="19">
        <v>0.59771978260869563</v>
      </c>
      <c r="Z41" s="19">
        <v>337</v>
      </c>
      <c r="AA41" s="19">
        <v>0</v>
      </c>
      <c r="AB41" s="19">
        <v>15</v>
      </c>
      <c r="AC41" s="19">
        <v>3</v>
      </c>
      <c r="AD41" s="19">
        <v>0.51594565814126847</v>
      </c>
      <c r="AE41" s="19">
        <v>1.625448508202048</v>
      </c>
      <c r="AF41" s="4" t="s">
        <v>522</v>
      </c>
      <c r="AG41" s="19">
        <v>42</v>
      </c>
      <c r="AH41" s="19">
        <v>32</v>
      </c>
      <c r="AI41" s="19">
        <v>8</v>
      </c>
      <c r="AJ41" s="19">
        <v>5</v>
      </c>
      <c r="AK41" s="19">
        <v>500</v>
      </c>
      <c r="AL41" s="19">
        <v>2000</v>
      </c>
      <c r="AM41" s="4" t="s">
        <v>525</v>
      </c>
      <c r="AN41" s="19">
        <v>1</v>
      </c>
      <c r="AO41" s="19">
        <v>1</v>
      </c>
      <c r="AP41" s="19">
        <v>39.910489251370898</v>
      </c>
      <c r="AQ41" s="19">
        <v>79.820978502741795</v>
      </c>
      <c r="AR41" s="19">
        <v>1.016384E-3</v>
      </c>
      <c r="AS41" s="19">
        <v>0</v>
      </c>
      <c r="AT41" s="19">
        <v>10.312565088272089</v>
      </c>
      <c r="AU41" s="19">
        <v>56.611624956130981</v>
      </c>
      <c r="AV41" s="19">
        <v>46.299059867858887</v>
      </c>
      <c r="AW41" s="19">
        <v>2729</v>
      </c>
      <c r="AX41" s="19">
        <v>0.1383740782737746</v>
      </c>
      <c r="AY41" s="19">
        <v>342</v>
      </c>
      <c r="AZ41" s="19">
        <v>14</v>
      </c>
      <c r="BA41" s="19">
        <v>1.474871873855591</v>
      </c>
      <c r="BB41" s="19">
        <v>1.9441239833831789</v>
      </c>
      <c r="BC41" s="19">
        <v>1.5244912903276471</v>
      </c>
      <c r="BD41" s="19">
        <v>2373</v>
      </c>
      <c r="BE41" s="19">
        <v>1.9441239833831789</v>
      </c>
      <c r="BF41" s="19">
        <v>53.500246425348877</v>
      </c>
      <c r="BG41" s="19">
        <v>0.1238420009613037</v>
      </c>
      <c r="BH41" s="19">
        <v>0.1148804673855183</v>
      </c>
      <c r="BI41" s="19">
        <v>18</v>
      </c>
      <c r="BJ41" s="19">
        <v>6</v>
      </c>
      <c r="BK41" s="19">
        <v>2.157433094683792E-2</v>
      </c>
      <c r="BL41" s="19">
        <v>2.161618664189054E-4</v>
      </c>
      <c r="BM41" s="19">
        <v>1.7188594416903331E-3</v>
      </c>
      <c r="BN41" s="19">
        <v>2396</v>
      </c>
      <c r="BO41" s="19">
        <v>2.1437883477293179E-2</v>
      </c>
      <c r="BP41" s="19">
        <v>2.457526162072559E-2</v>
      </c>
      <c r="BQ41" s="19">
        <v>5.8379837724029044E-3</v>
      </c>
      <c r="BR41" s="19">
        <v>2379</v>
      </c>
      <c r="BS41" s="19">
        <v>2.159601089938375E-2</v>
      </c>
      <c r="BT41" s="19">
        <v>2.1732753555246651E-4</v>
      </c>
      <c r="BU41" s="19">
        <v>6.0251333169489101E-3</v>
      </c>
      <c r="BV41" s="19">
        <v>2384</v>
      </c>
      <c r="BW41" s="19">
        <v>0</v>
      </c>
      <c r="BX41" s="19">
        <v>0</v>
      </c>
      <c r="BY41" s="19">
        <v>6.0463906334131271E-3</v>
      </c>
      <c r="BZ41" s="19">
        <v>2385</v>
      </c>
      <c r="CA41" s="4"/>
      <c r="CB41" s="19">
        <v>1000</v>
      </c>
      <c r="CC41" s="4"/>
      <c r="CD41" s="4"/>
      <c r="CE41" s="4"/>
      <c r="CF41" s="4"/>
      <c r="CG41" s="4"/>
      <c r="CH41" s="4"/>
      <c r="CI41" s="4"/>
      <c r="CJ41" s="4"/>
      <c r="CK41" s="4"/>
      <c r="CL41" s="4"/>
      <c r="CM41" s="4"/>
      <c r="CN41" s="4"/>
      <c r="CO41" s="4"/>
      <c r="CP41" s="4"/>
      <c r="CQ41" s="19">
        <v>2</v>
      </c>
      <c r="CR41" s="19">
        <v>500</v>
      </c>
      <c r="CS41" s="4" t="s">
        <v>308</v>
      </c>
      <c r="CT41" s="4"/>
      <c r="CU41" s="4"/>
    </row>
    <row r="42" spans="1:99" x14ac:dyDescent="0.3">
      <c r="A42" s="4" t="s">
        <v>58</v>
      </c>
      <c r="B42" s="4" t="s">
        <v>536</v>
      </c>
      <c r="C42" s="4" t="s">
        <v>311</v>
      </c>
      <c r="D42" s="4" t="s">
        <v>47</v>
      </c>
      <c r="E42" s="4" t="s">
        <v>48</v>
      </c>
      <c r="F42" s="19">
        <v>3</v>
      </c>
      <c r="G42" s="19">
        <v>2</v>
      </c>
      <c r="H42" s="19">
        <v>6</v>
      </c>
      <c r="I42" s="19">
        <v>6</v>
      </c>
      <c r="J42" s="4" t="s">
        <v>521</v>
      </c>
      <c r="K42" s="4" t="s">
        <v>155</v>
      </c>
      <c r="L42" s="19">
        <v>50</v>
      </c>
      <c r="M42" s="19">
        <v>2384</v>
      </c>
      <c r="N42" s="19">
        <v>7.5168209066666658E-2</v>
      </c>
      <c r="O42" s="19">
        <v>7.6184593066666653E-2</v>
      </c>
      <c r="P42" s="19">
        <v>99.883627139764769</v>
      </c>
      <c r="Q42" s="19">
        <v>99.883627139764769</v>
      </c>
      <c r="R42" s="19">
        <v>78.756081229568238</v>
      </c>
      <c r="S42" s="19">
        <v>99.883627139764783</v>
      </c>
      <c r="T42" s="19">
        <v>78.756081229568238</v>
      </c>
      <c r="U42" s="19">
        <v>51.439964057948117</v>
      </c>
      <c r="V42" s="19">
        <v>0.1241556406021118</v>
      </c>
      <c r="W42" s="19">
        <v>0.1299399733543396</v>
      </c>
      <c r="X42" s="19">
        <v>0.1163028595631555</v>
      </c>
      <c r="Y42" s="19">
        <v>0.59724646956521732</v>
      </c>
      <c r="Z42" s="19">
        <v>337</v>
      </c>
      <c r="AA42" s="19">
        <v>0</v>
      </c>
      <c r="AB42" s="19">
        <v>8</v>
      </c>
      <c r="AC42" s="19">
        <v>2</v>
      </c>
      <c r="AD42" s="19">
        <v>0.51499895959894815</v>
      </c>
      <c r="AE42" s="19">
        <v>1.6296686193948331</v>
      </c>
      <c r="AF42" s="4" t="s">
        <v>522</v>
      </c>
      <c r="AG42" s="19">
        <v>42</v>
      </c>
      <c r="AH42" s="19">
        <v>32</v>
      </c>
      <c r="AI42" s="19">
        <v>8</v>
      </c>
      <c r="AJ42" s="19">
        <v>5</v>
      </c>
      <c r="AK42" s="19">
        <v>500</v>
      </c>
      <c r="AL42" s="19">
        <v>2000</v>
      </c>
      <c r="AM42" s="4" t="s">
        <v>525</v>
      </c>
      <c r="AN42" s="19">
        <v>1</v>
      </c>
      <c r="AO42" s="19">
        <v>1</v>
      </c>
      <c r="AP42" s="19">
        <v>39.910489251370898</v>
      </c>
      <c r="AQ42" s="19">
        <v>79.820978502741795</v>
      </c>
      <c r="AR42" s="19">
        <v>1.016384E-3</v>
      </c>
      <c r="AS42" s="19">
        <v>0</v>
      </c>
      <c r="AT42" s="19">
        <v>10.29896354675293</v>
      </c>
      <c r="AU42" s="19">
        <v>56.64425253868103</v>
      </c>
      <c r="AV42" s="19">
        <v>46.345288991928101</v>
      </c>
      <c r="AW42" s="19">
        <v>2729</v>
      </c>
      <c r="AX42" s="19">
        <v>0.13336813926696781</v>
      </c>
      <c r="AY42" s="19">
        <v>342</v>
      </c>
      <c r="AZ42" s="19">
        <v>7</v>
      </c>
      <c r="BA42" s="19">
        <v>1.3291893005371089</v>
      </c>
      <c r="BB42" s="19">
        <v>1.8328506946563721</v>
      </c>
      <c r="BC42" s="19">
        <v>1.5265929091644901</v>
      </c>
      <c r="BD42" s="19">
        <v>2380</v>
      </c>
      <c r="BE42" s="19">
        <v>1.8328506946563721</v>
      </c>
      <c r="BF42" s="19">
        <v>53.468201047658077</v>
      </c>
      <c r="BG42" s="19">
        <v>0.1241580247879028</v>
      </c>
      <c r="BH42" s="19">
        <v>0.1154874407944559</v>
      </c>
      <c r="BI42" s="19">
        <v>16</v>
      </c>
      <c r="BJ42" s="19">
        <v>6</v>
      </c>
      <c r="BK42" s="19">
        <v>2.1583407031985791E-2</v>
      </c>
      <c r="BL42" s="19">
        <v>2.4471077374106621E-4</v>
      </c>
      <c r="BM42" s="19">
        <v>1.9925750414663498E-3</v>
      </c>
      <c r="BN42" s="19">
        <v>2389</v>
      </c>
      <c r="BO42" s="19">
        <v>2.1223343783356129E-2</v>
      </c>
      <c r="BP42" s="19">
        <v>2.5204863211121219E-2</v>
      </c>
      <c r="BQ42" s="19">
        <v>5.8196702790180039E-3</v>
      </c>
      <c r="BR42" s="19">
        <v>2376</v>
      </c>
      <c r="BS42" s="19">
        <v>2.1609833097437879E-2</v>
      </c>
      <c r="BT42" s="19">
        <v>2.0067620767648609E-4</v>
      </c>
      <c r="BU42" s="19">
        <v>5.7821478905719812E-3</v>
      </c>
      <c r="BV42" s="19">
        <v>2383</v>
      </c>
      <c r="BW42" s="19">
        <v>0</v>
      </c>
      <c r="BX42" s="19">
        <v>0</v>
      </c>
      <c r="BY42" s="19">
        <v>5.7910554761054526E-3</v>
      </c>
      <c r="BZ42" s="19">
        <v>2384</v>
      </c>
      <c r="CA42" s="4"/>
      <c r="CB42" s="19">
        <v>2000</v>
      </c>
      <c r="CC42" s="4"/>
      <c r="CD42" s="4"/>
      <c r="CE42" s="4"/>
      <c r="CF42" s="4"/>
      <c r="CG42" s="4"/>
      <c r="CH42" s="4"/>
      <c r="CI42" s="4"/>
      <c r="CJ42" s="4"/>
      <c r="CK42" s="4"/>
      <c r="CL42" s="4"/>
      <c r="CM42" s="4"/>
      <c r="CN42" s="4"/>
      <c r="CO42" s="4"/>
      <c r="CP42" s="4"/>
      <c r="CQ42" s="19">
        <v>2</v>
      </c>
      <c r="CR42" s="19">
        <v>500</v>
      </c>
      <c r="CS42" s="4" t="s">
        <v>308</v>
      </c>
      <c r="CT42" s="4"/>
      <c r="CU42" s="4"/>
    </row>
    <row r="43" spans="1:99" x14ac:dyDescent="0.3">
      <c r="A43" s="4" t="s">
        <v>58</v>
      </c>
      <c r="B43" s="4" t="s">
        <v>537</v>
      </c>
      <c r="C43" s="4" t="s">
        <v>312</v>
      </c>
      <c r="D43" s="4" t="s">
        <v>47</v>
      </c>
      <c r="E43" s="4" t="s">
        <v>48</v>
      </c>
      <c r="F43" s="19">
        <v>3</v>
      </c>
      <c r="G43" s="19">
        <v>2</v>
      </c>
      <c r="H43" s="19">
        <v>6</v>
      </c>
      <c r="I43" s="19">
        <v>6</v>
      </c>
      <c r="J43" s="4" t="s">
        <v>521</v>
      </c>
      <c r="K43" s="4" t="s">
        <v>155</v>
      </c>
      <c r="L43" s="19">
        <v>50</v>
      </c>
      <c r="M43" s="19">
        <v>2294</v>
      </c>
      <c r="N43" s="19">
        <v>7.5168209066666658E-2</v>
      </c>
      <c r="O43" s="19">
        <v>7.6184593066666653E-2</v>
      </c>
      <c r="P43" s="19">
        <v>99.883627139764769</v>
      </c>
      <c r="Q43" s="19">
        <v>99.883627139764769</v>
      </c>
      <c r="R43" s="19">
        <v>78.756081229568238</v>
      </c>
      <c r="S43" s="19">
        <v>99.883627139764783</v>
      </c>
      <c r="T43" s="19">
        <v>78.756081229568238</v>
      </c>
      <c r="U43" s="19">
        <v>49.540552581120657</v>
      </c>
      <c r="V43" s="19">
        <v>0.1234102249145508</v>
      </c>
      <c r="W43" s="19">
        <v>0.13004689216613771</v>
      </c>
      <c r="X43" s="19">
        <v>0.1205392747519841</v>
      </c>
      <c r="Y43" s="19">
        <v>0.57689190956521741</v>
      </c>
      <c r="Z43" s="19">
        <v>328</v>
      </c>
      <c r="AA43" s="19">
        <v>0</v>
      </c>
      <c r="AB43" s="19">
        <v>9</v>
      </c>
      <c r="AC43" s="19">
        <v>8</v>
      </c>
      <c r="AD43" s="19">
        <v>0.49598271508302111</v>
      </c>
      <c r="AE43" s="19">
        <v>1.619884282988274</v>
      </c>
      <c r="AF43" s="4" t="s">
        <v>522</v>
      </c>
      <c r="AG43" s="19">
        <v>42</v>
      </c>
      <c r="AH43" s="19">
        <v>32</v>
      </c>
      <c r="AI43" s="19">
        <v>8</v>
      </c>
      <c r="AJ43" s="19">
        <v>5</v>
      </c>
      <c r="AK43" s="19">
        <v>500</v>
      </c>
      <c r="AL43" s="19">
        <v>2000</v>
      </c>
      <c r="AM43" s="4" t="s">
        <v>525</v>
      </c>
      <c r="AN43" s="19">
        <v>1</v>
      </c>
      <c r="AO43" s="19">
        <v>1</v>
      </c>
      <c r="AP43" s="19">
        <v>39.910489251370898</v>
      </c>
      <c r="AQ43" s="19">
        <v>79.820978502741795</v>
      </c>
      <c r="AR43" s="19">
        <v>1.016384E-3</v>
      </c>
      <c r="AS43" s="19">
        <v>0</v>
      </c>
      <c r="AT43" s="19">
        <v>10.277896881103519</v>
      </c>
      <c r="AU43" s="19">
        <v>56.583395719528198</v>
      </c>
      <c r="AV43" s="19">
        <v>46.305498838424683</v>
      </c>
      <c r="AW43" s="19">
        <v>2638</v>
      </c>
      <c r="AX43" s="19">
        <v>0.13306697130203249</v>
      </c>
      <c r="AY43" s="19">
        <v>333</v>
      </c>
      <c r="AZ43" s="19">
        <v>8</v>
      </c>
      <c r="BA43" s="19">
        <v>1.64240574836731</v>
      </c>
      <c r="BB43" s="19">
        <v>3.9053695201873779</v>
      </c>
      <c r="BC43" s="19">
        <v>1.582200152286751</v>
      </c>
      <c r="BD43" s="19">
        <v>2289</v>
      </c>
      <c r="BE43" s="19">
        <v>3.9053695201873779</v>
      </c>
      <c r="BF43" s="19">
        <v>53.985684402510692</v>
      </c>
      <c r="BG43" s="19">
        <v>0.1234304904937744</v>
      </c>
      <c r="BH43" s="19">
        <v>0.1189640424510911</v>
      </c>
      <c r="BI43" s="19">
        <v>15</v>
      </c>
      <c r="BJ43" s="19">
        <v>6</v>
      </c>
      <c r="BK43" s="19">
        <v>2.13096737342881E-2</v>
      </c>
      <c r="BL43" s="19">
        <v>2.6222464309971262E-4</v>
      </c>
      <c r="BM43" s="19">
        <v>1.746926025476945E-3</v>
      </c>
      <c r="BN43" s="19">
        <v>2298</v>
      </c>
      <c r="BO43" s="19">
        <v>2.1488794841264421E-2</v>
      </c>
      <c r="BP43" s="19">
        <v>2.3539931627742029E-2</v>
      </c>
      <c r="BQ43" s="19">
        <v>6.0970987144269443E-3</v>
      </c>
      <c r="BR43" s="19">
        <v>2280</v>
      </c>
      <c r="BS43" s="19">
        <v>2.159580658494439E-2</v>
      </c>
      <c r="BT43" s="19">
        <v>1.8471266356570471E-4</v>
      </c>
      <c r="BU43" s="19">
        <v>6.0514249069958843E-3</v>
      </c>
      <c r="BV43" s="19">
        <v>2294</v>
      </c>
      <c r="BW43" s="19">
        <v>0</v>
      </c>
      <c r="BX43" s="19">
        <v>0</v>
      </c>
      <c r="BY43" s="19">
        <v>5.79071117673839E-3</v>
      </c>
      <c r="BZ43" s="19">
        <v>2294</v>
      </c>
      <c r="CA43" s="4"/>
      <c r="CB43" s="19">
        <v>5000</v>
      </c>
      <c r="CC43" s="4"/>
      <c r="CD43" s="4"/>
      <c r="CE43" s="4"/>
      <c r="CF43" s="4"/>
      <c r="CG43" s="4"/>
      <c r="CH43" s="4"/>
      <c r="CI43" s="4"/>
      <c r="CJ43" s="4"/>
      <c r="CK43" s="4"/>
      <c r="CL43" s="4"/>
      <c r="CM43" s="4"/>
      <c r="CN43" s="4"/>
      <c r="CO43" s="4"/>
      <c r="CP43" s="4"/>
      <c r="CQ43" s="19">
        <v>2</v>
      </c>
      <c r="CR43" s="19">
        <v>500</v>
      </c>
      <c r="CS43" s="4" t="s">
        <v>308</v>
      </c>
      <c r="CT43" s="4"/>
      <c r="CU43" s="4"/>
    </row>
    <row r="44" spans="1:99" x14ac:dyDescent="0.3">
      <c r="A44" s="4" t="s">
        <v>73</v>
      </c>
      <c r="B44" s="4" t="s">
        <v>538</v>
      </c>
      <c r="C44" s="4" t="s">
        <v>359</v>
      </c>
      <c r="D44" s="4" t="s">
        <v>78</v>
      </c>
      <c r="E44" s="4" t="s">
        <v>48</v>
      </c>
      <c r="F44" s="19">
        <v>50</v>
      </c>
      <c r="G44" s="19">
        <v>20</v>
      </c>
      <c r="H44" s="19">
        <v>1000</v>
      </c>
      <c r="I44" s="19">
        <v>1</v>
      </c>
      <c r="J44" s="4" t="s">
        <v>521</v>
      </c>
      <c r="K44" s="4" t="s">
        <v>151</v>
      </c>
      <c r="L44" s="19">
        <v>180</v>
      </c>
      <c r="M44" s="19">
        <v>52</v>
      </c>
      <c r="N44" s="19">
        <v>3.0532767999999999</v>
      </c>
      <c r="O44" s="19">
        <v>3.0543423359999999</v>
      </c>
      <c r="P44" s="19">
        <v>333.33333333333331</v>
      </c>
      <c r="Q44" s="19">
        <v>0.33333333333333331</v>
      </c>
      <c r="R44" s="19">
        <v>0.32740272372664392</v>
      </c>
      <c r="S44" s="19">
        <v>333.33333333333343</v>
      </c>
      <c r="T44" s="19">
        <v>0.32740272372664392</v>
      </c>
      <c r="U44" s="19">
        <v>0.33086668695749222</v>
      </c>
      <c r="V44" s="19">
        <v>3.0545389439999719</v>
      </c>
      <c r="W44" s="19">
        <v>3.0547355519998969</v>
      </c>
      <c r="X44" s="19">
        <v>3.0545389439999688</v>
      </c>
      <c r="Y44" s="19">
        <v>9.8208033333333335E-4</v>
      </c>
      <c r="Z44" s="19">
        <v>14</v>
      </c>
      <c r="AA44" s="19">
        <v>0</v>
      </c>
      <c r="AB44" s="19">
        <v>0</v>
      </c>
      <c r="AC44" s="19">
        <v>0</v>
      </c>
      <c r="AD44" s="19">
        <v>9.926000608724765E-4</v>
      </c>
      <c r="AE44" s="19">
        <v>1.0000643699946969</v>
      </c>
      <c r="AF44" s="4"/>
      <c r="AG44" s="19">
        <v>42</v>
      </c>
      <c r="AH44" s="19">
        <v>0</v>
      </c>
      <c r="AI44" s="19">
        <v>4</v>
      </c>
      <c r="AJ44" s="19">
        <v>20</v>
      </c>
      <c r="AK44" s="19">
        <v>1000</v>
      </c>
      <c r="AL44" s="19">
        <v>4000</v>
      </c>
      <c r="AM44" s="4" t="s">
        <v>523</v>
      </c>
      <c r="AN44" s="19">
        <v>0</v>
      </c>
      <c r="AO44" s="19">
        <v>0</v>
      </c>
      <c r="AP44" s="19">
        <v>16.37584905502181</v>
      </c>
      <c r="AQ44" s="19">
        <v>327.51698110043611</v>
      </c>
      <c r="AR44" s="19">
        <v>1.065536E-3</v>
      </c>
      <c r="AS44" s="19">
        <v>0</v>
      </c>
      <c r="AT44" s="19">
        <v>20</v>
      </c>
      <c r="AU44" s="19">
        <v>177.16299660799839</v>
      </c>
      <c r="AV44" s="19">
        <v>157.16299660799839</v>
      </c>
      <c r="AW44" s="19">
        <v>58</v>
      </c>
      <c r="AX44" s="19">
        <v>3.0547355519998969</v>
      </c>
      <c r="AY44" s="19">
        <v>14</v>
      </c>
      <c r="AZ44" s="19">
        <v>0</v>
      </c>
      <c r="BA44" s="4"/>
      <c r="BB44" s="4"/>
      <c r="BC44" s="19">
        <v>1.0000643699946969</v>
      </c>
      <c r="BD44" s="19">
        <v>52</v>
      </c>
      <c r="BE44" s="19">
        <v>0</v>
      </c>
      <c r="BF44" s="19">
        <v>0.33086668695749222</v>
      </c>
      <c r="BG44" s="19">
        <v>3.0545389439999719</v>
      </c>
      <c r="BH44" s="19">
        <v>3.0545389439999688</v>
      </c>
      <c r="BI44" s="19">
        <v>0</v>
      </c>
      <c r="BJ44" s="4"/>
      <c r="BK44" s="4"/>
      <c r="BL44" s="4"/>
      <c r="BM44" s="4"/>
      <c r="BN44" s="4"/>
      <c r="BO44" s="4"/>
      <c r="BP44" s="4"/>
      <c r="BQ44" s="4"/>
      <c r="BR44" s="4"/>
      <c r="BS44" s="4"/>
      <c r="BT44" s="4"/>
      <c r="BU44" s="4"/>
      <c r="BV44" s="4"/>
      <c r="BW44" s="4"/>
      <c r="BX44" s="4"/>
      <c r="BY44" s="4"/>
      <c r="BZ44" s="4"/>
      <c r="CA44" s="19">
        <v>1</v>
      </c>
      <c r="CB44" s="4"/>
      <c r="CC44" s="4"/>
      <c r="CD44" s="4"/>
      <c r="CE44" s="4"/>
      <c r="CF44" s="4"/>
      <c r="CG44" s="4"/>
      <c r="CH44" s="4"/>
      <c r="CI44" s="4"/>
      <c r="CJ44" s="4"/>
      <c r="CK44" s="4"/>
      <c r="CL44" s="4"/>
      <c r="CM44" s="4"/>
      <c r="CN44" s="4"/>
      <c r="CO44" s="4"/>
      <c r="CP44" s="4"/>
      <c r="CQ44" s="4"/>
      <c r="CR44" s="4"/>
      <c r="CS44" s="4"/>
      <c r="CT44" s="19">
        <v>1000</v>
      </c>
      <c r="CU44" s="19">
        <v>1000</v>
      </c>
    </row>
    <row r="45" spans="1:99" x14ac:dyDescent="0.3">
      <c r="A45" s="4" t="s">
        <v>73</v>
      </c>
      <c r="B45" s="4" t="s">
        <v>539</v>
      </c>
      <c r="C45" s="4" t="s">
        <v>360</v>
      </c>
      <c r="D45" s="4" t="s">
        <v>78</v>
      </c>
      <c r="E45" s="4" t="s">
        <v>48</v>
      </c>
      <c r="F45" s="19">
        <v>50</v>
      </c>
      <c r="G45" s="19">
        <v>20</v>
      </c>
      <c r="H45" s="19">
        <v>1000</v>
      </c>
      <c r="I45" s="19">
        <v>10</v>
      </c>
      <c r="J45" s="4" t="s">
        <v>521</v>
      </c>
      <c r="K45" s="4" t="s">
        <v>151</v>
      </c>
      <c r="L45" s="19">
        <v>180</v>
      </c>
      <c r="M45" s="19">
        <v>520</v>
      </c>
      <c r="N45" s="19">
        <v>3.0532767999999999</v>
      </c>
      <c r="O45" s="19">
        <v>3.0543423359999999</v>
      </c>
      <c r="P45" s="19">
        <v>333.33333333333331</v>
      </c>
      <c r="Q45" s="19">
        <v>3.333333333333333</v>
      </c>
      <c r="R45" s="19">
        <v>3.2740272372664392</v>
      </c>
      <c r="S45" s="19">
        <v>333.33333333333343</v>
      </c>
      <c r="T45" s="19">
        <v>3.2740272372664392</v>
      </c>
      <c r="U45" s="19">
        <v>3.308666869574922</v>
      </c>
      <c r="V45" s="19">
        <v>3.0545389439999719</v>
      </c>
      <c r="W45" s="19">
        <v>3.0547355519998969</v>
      </c>
      <c r="X45" s="19">
        <v>3.0545389439999688</v>
      </c>
      <c r="Y45" s="19">
        <v>9.8208033333333326E-3</v>
      </c>
      <c r="Z45" s="19">
        <v>140</v>
      </c>
      <c r="AA45" s="19">
        <v>0</v>
      </c>
      <c r="AB45" s="19">
        <v>0</v>
      </c>
      <c r="AC45" s="19">
        <v>0</v>
      </c>
      <c r="AD45" s="19">
        <v>9.9260006087247658E-3</v>
      </c>
      <c r="AE45" s="19">
        <v>1.0000643699946969</v>
      </c>
      <c r="AF45" s="4"/>
      <c r="AG45" s="19">
        <v>42</v>
      </c>
      <c r="AH45" s="19">
        <v>0</v>
      </c>
      <c r="AI45" s="19">
        <v>4</v>
      </c>
      <c r="AJ45" s="19">
        <v>20</v>
      </c>
      <c r="AK45" s="19">
        <v>1000</v>
      </c>
      <c r="AL45" s="19">
        <v>4000</v>
      </c>
      <c r="AM45" s="4" t="s">
        <v>523</v>
      </c>
      <c r="AN45" s="19">
        <v>0</v>
      </c>
      <c r="AO45" s="19">
        <v>0</v>
      </c>
      <c r="AP45" s="19">
        <v>16.37584905502181</v>
      </c>
      <c r="AQ45" s="19">
        <v>327.51698110043611</v>
      </c>
      <c r="AR45" s="19">
        <v>1.065536E-3</v>
      </c>
      <c r="AS45" s="19">
        <v>0</v>
      </c>
      <c r="AT45" s="19">
        <v>20</v>
      </c>
      <c r="AU45" s="19">
        <v>177.16299660799839</v>
      </c>
      <c r="AV45" s="19">
        <v>157.16299660799839</v>
      </c>
      <c r="AW45" s="19">
        <v>580</v>
      </c>
      <c r="AX45" s="19">
        <v>3.0547355519998969</v>
      </c>
      <c r="AY45" s="19">
        <v>140</v>
      </c>
      <c r="AZ45" s="19">
        <v>0</v>
      </c>
      <c r="BA45" s="4"/>
      <c r="BB45" s="4"/>
      <c r="BC45" s="19">
        <v>1.0000643699946969</v>
      </c>
      <c r="BD45" s="19">
        <v>520</v>
      </c>
      <c r="BE45" s="19">
        <v>0</v>
      </c>
      <c r="BF45" s="19">
        <v>3.308666869574922</v>
      </c>
      <c r="BG45" s="19">
        <v>3.0545389439999719</v>
      </c>
      <c r="BH45" s="19">
        <v>3.0545389439999688</v>
      </c>
      <c r="BI45" s="19">
        <v>0</v>
      </c>
      <c r="BJ45" s="4"/>
      <c r="BK45" s="4"/>
      <c r="BL45" s="4"/>
      <c r="BM45" s="4"/>
      <c r="BN45" s="4"/>
      <c r="BO45" s="4"/>
      <c r="BP45" s="4"/>
      <c r="BQ45" s="4"/>
      <c r="BR45" s="4"/>
      <c r="BS45" s="4"/>
      <c r="BT45" s="4"/>
      <c r="BU45" s="4"/>
      <c r="BV45" s="4"/>
      <c r="BW45" s="4"/>
      <c r="BX45" s="4"/>
      <c r="BY45" s="4"/>
      <c r="BZ45" s="4"/>
      <c r="CA45" s="19">
        <v>10</v>
      </c>
      <c r="CB45" s="4"/>
      <c r="CC45" s="4"/>
      <c r="CD45" s="4"/>
      <c r="CE45" s="4"/>
      <c r="CF45" s="4"/>
      <c r="CG45" s="4"/>
      <c r="CH45" s="4"/>
      <c r="CI45" s="4"/>
      <c r="CJ45" s="4"/>
      <c r="CK45" s="4"/>
      <c r="CL45" s="4"/>
      <c r="CM45" s="4"/>
      <c r="CN45" s="4"/>
      <c r="CO45" s="4"/>
      <c r="CP45" s="4"/>
      <c r="CQ45" s="4"/>
      <c r="CR45" s="4"/>
      <c r="CS45" s="4"/>
      <c r="CT45" s="19">
        <v>1000</v>
      </c>
      <c r="CU45" s="19">
        <v>1000</v>
      </c>
    </row>
    <row r="46" spans="1:99" x14ac:dyDescent="0.3">
      <c r="A46" s="4" t="s">
        <v>73</v>
      </c>
      <c r="B46" s="4" t="s">
        <v>540</v>
      </c>
      <c r="C46" s="4" t="s">
        <v>361</v>
      </c>
      <c r="D46" s="4" t="s">
        <v>78</v>
      </c>
      <c r="E46" s="4" t="s">
        <v>48</v>
      </c>
      <c r="F46" s="19">
        <v>50</v>
      </c>
      <c r="G46" s="19">
        <v>20</v>
      </c>
      <c r="H46" s="19">
        <v>1000</v>
      </c>
      <c r="I46" s="19">
        <v>50</v>
      </c>
      <c r="J46" s="4" t="s">
        <v>521</v>
      </c>
      <c r="K46" s="4" t="s">
        <v>151</v>
      </c>
      <c r="L46" s="19">
        <v>180</v>
      </c>
      <c r="M46" s="19">
        <v>2600</v>
      </c>
      <c r="N46" s="19">
        <v>3.0532767999999999</v>
      </c>
      <c r="O46" s="19">
        <v>3.0543423359999999</v>
      </c>
      <c r="P46" s="19">
        <v>333.33333333333331</v>
      </c>
      <c r="Q46" s="19">
        <v>16.666666666666671</v>
      </c>
      <c r="R46" s="19">
        <v>16.370136186332189</v>
      </c>
      <c r="S46" s="19">
        <v>333.33333333333343</v>
      </c>
      <c r="T46" s="19">
        <v>16.370136186332189</v>
      </c>
      <c r="U46" s="19">
        <v>16.53071085919392</v>
      </c>
      <c r="V46" s="19">
        <v>3.0545389439999719</v>
      </c>
      <c r="W46" s="19">
        <v>3.0547355519998969</v>
      </c>
      <c r="X46" s="19">
        <v>3.0545389439999702</v>
      </c>
      <c r="Y46" s="19">
        <v>4.9089802222222222E-2</v>
      </c>
      <c r="Z46" s="19">
        <v>700</v>
      </c>
      <c r="AA46" s="19">
        <v>0</v>
      </c>
      <c r="AB46" s="19">
        <v>0</v>
      </c>
      <c r="AC46" s="19">
        <v>0</v>
      </c>
      <c r="AD46" s="19">
        <v>4.9592132577581778E-2</v>
      </c>
      <c r="AE46" s="19">
        <v>1.0000643699946969</v>
      </c>
      <c r="AF46" s="4"/>
      <c r="AG46" s="19">
        <v>42</v>
      </c>
      <c r="AH46" s="19">
        <v>0</v>
      </c>
      <c r="AI46" s="19">
        <v>4</v>
      </c>
      <c r="AJ46" s="19">
        <v>20</v>
      </c>
      <c r="AK46" s="19">
        <v>1000</v>
      </c>
      <c r="AL46" s="19">
        <v>4000</v>
      </c>
      <c r="AM46" s="4" t="s">
        <v>523</v>
      </c>
      <c r="AN46" s="19">
        <v>0</v>
      </c>
      <c r="AO46" s="19">
        <v>0</v>
      </c>
      <c r="AP46" s="19">
        <v>16.37584905502181</v>
      </c>
      <c r="AQ46" s="19">
        <v>327.51698110043611</v>
      </c>
      <c r="AR46" s="19">
        <v>1.065536E-3</v>
      </c>
      <c r="AS46" s="19">
        <v>0</v>
      </c>
      <c r="AT46" s="19">
        <v>20</v>
      </c>
      <c r="AU46" s="19">
        <v>177.28301233663839</v>
      </c>
      <c r="AV46" s="19">
        <v>157.28301233663839</v>
      </c>
      <c r="AW46" s="19">
        <v>2900</v>
      </c>
      <c r="AX46" s="19">
        <v>3.0547355519999009</v>
      </c>
      <c r="AY46" s="19">
        <v>700</v>
      </c>
      <c r="AZ46" s="19">
        <v>0</v>
      </c>
      <c r="BA46" s="4"/>
      <c r="BB46" s="4"/>
      <c r="BC46" s="19">
        <v>1.0000643699946969</v>
      </c>
      <c r="BD46" s="19">
        <v>2600</v>
      </c>
      <c r="BE46" s="19">
        <v>0</v>
      </c>
      <c r="BF46" s="19">
        <v>16.53071085919392</v>
      </c>
      <c r="BG46" s="19">
        <v>3.0545389439999719</v>
      </c>
      <c r="BH46" s="19">
        <v>3.0545389439999702</v>
      </c>
      <c r="BI46" s="19">
        <v>0</v>
      </c>
      <c r="BJ46" s="4"/>
      <c r="BK46" s="4"/>
      <c r="BL46" s="4"/>
      <c r="BM46" s="4"/>
      <c r="BN46" s="4"/>
      <c r="BO46" s="4"/>
      <c r="BP46" s="4"/>
      <c r="BQ46" s="4"/>
      <c r="BR46" s="4"/>
      <c r="BS46" s="4"/>
      <c r="BT46" s="4"/>
      <c r="BU46" s="4"/>
      <c r="BV46" s="4"/>
      <c r="BW46" s="4"/>
      <c r="BX46" s="4"/>
      <c r="BY46" s="4"/>
      <c r="BZ46" s="4"/>
      <c r="CA46" s="19">
        <v>50</v>
      </c>
      <c r="CB46" s="4"/>
      <c r="CC46" s="4"/>
      <c r="CD46" s="4"/>
      <c r="CE46" s="4"/>
      <c r="CF46" s="4"/>
      <c r="CG46" s="4"/>
      <c r="CH46" s="4"/>
      <c r="CI46" s="4"/>
      <c r="CJ46" s="4"/>
      <c r="CK46" s="4"/>
      <c r="CL46" s="4"/>
      <c r="CM46" s="4"/>
      <c r="CN46" s="4"/>
      <c r="CO46" s="4"/>
      <c r="CP46" s="4"/>
      <c r="CQ46" s="4"/>
      <c r="CR46" s="4"/>
      <c r="CS46" s="4"/>
      <c r="CT46" s="19">
        <v>1000</v>
      </c>
      <c r="CU46" s="19">
        <v>1000</v>
      </c>
    </row>
    <row r="47" spans="1:99" x14ac:dyDescent="0.3">
      <c r="A47" s="4" t="s">
        <v>73</v>
      </c>
      <c r="B47" s="4" t="s">
        <v>541</v>
      </c>
      <c r="C47" s="4" t="s">
        <v>362</v>
      </c>
      <c r="D47" s="4" t="s">
        <v>78</v>
      </c>
      <c r="E47" s="4" t="s">
        <v>48</v>
      </c>
      <c r="F47" s="19">
        <v>50</v>
      </c>
      <c r="G47" s="19">
        <v>20</v>
      </c>
      <c r="H47" s="19">
        <v>1000</v>
      </c>
      <c r="I47" s="19">
        <v>100</v>
      </c>
      <c r="J47" s="4" t="s">
        <v>521</v>
      </c>
      <c r="K47" s="4" t="s">
        <v>151</v>
      </c>
      <c r="L47" s="19">
        <v>180</v>
      </c>
      <c r="M47" s="19">
        <v>5200</v>
      </c>
      <c r="N47" s="19">
        <v>3.0532767999999999</v>
      </c>
      <c r="O47" s="19">
        <v>3.0543423359999999</v>
      </c>
      <c r="P47" s="19">
        <v>333.33333333333331</v>
      </c>
      <c r="Q47" s="19">
        <v>33.333333333333343</v>
      </c>
      <c r="R47" s="19">
        <v>32.740272372664393</v>
      </c>
      <c r="S47" s="19">
        <v>333.33333333333343</v>
      </c>
      <c r="T47" s="19">
        <v>32.740272372664393</v>
      </c>
      <c r="U47" s="19">
        <v>33.036213241358041</v>
      </c>
      <c r="V47" s="19">
        <v>3.0545389439999719</v>
      </c>
      <c r="W47" s="19">
        <v>3.0547355519998969</v>
      </c>
      <c r="X47" s="19">
        <v>3.0545389439999702</v>
      </c>
      <c r="Y47" s="19">
        <v>9.8139746666666666E-2</v>
      </c>
      <c r="Z47" s="19">
        <v>1400</v>
      </c>
      <c r="AA47" s="19">
        <v>0</v>
      </c>
      <c r="AB47" s="19">
        <v>0</v>
      </c>
      <c r="AC47" s="19">
        <v>0</v>
      </c>
      <c r="AD47" s="19">
        <v>9.9108639724074132E-2</v>
      </c>
      <c r="AE47" s="19">
        <v>1.0000643699946969</v>
      </c>
      <c r="AF47" s="4"/>
      <c r="AG47" s="19">
        <v>42</v>
      </c>
      <c r="AH47" s="19">
        <v>0</v>
      </c>
      <c r="AI47" s="19">
        <v>4</v>
      </c>
      <c r="AJ47" s="19">
        <v>20</v>
      </c>
      <c r="AK47" s="19">
        <v>1000</v>
      </c>
      <c r="AL47" s="19">
        <v>4000</v>
      </c>
      <c r="AM47" s="4" t="s">
        <v>523</v>
      </c>
      <c r="AN47" s="19">
        <v>0</v>
      </c>
      <c r="AO47" s="19">
        <v>0</v>
      </c>
      <c r="AP47" s="19">
        <v>16.37584905502181</v>
      </c>
      <c r="AQ47" s="19">
        <v>327.51698110043611</v>
      </c>
      <c r="AR47" s="19">
        <v>1.065536E-3</v>
      </c>
      <c r="AS47" s="19">
        <v>0</v>
      </c>
      <c r="AT47" s="19">
        <v>20</v>
      </c>
      <c r="AU47" s="19">
        <v>177.40302806527839</v>
      </c>
      <c r="AV47" s="19">
        <v>157.40302806527839</v>
      </c>
      <c r="AW47" s="19">
        <v>5800</v>
      </c>
      <c r="AX47" s="19">
        <v>3.0547355519999262</v>
      </c>
      <c r="AY47" s="19">
        <v>1400</v>
      </c>
      <c r="AZ47" s="19">
        <v>0</v>
      </c>
      <c r="BA47" s="4"/>
      <c r="BB47" s="4"/>
      <c r="BC47" s="19">
        <v>1.0000643699946969</v>
      </c>
      <c r="BD47" s="19">
        <v>5200</v>
      </c>
      <c r="BE47" s="19">
        <v>0</v>
      </c>
      <c r="BF47" s="19">
        <v>33.036213241358041</v>
      </c>
      <c r="BG47" s="19">
        <v>3.0545389439999719</v>
      </c>
      <c r="BH47" s="19">
        <v>3.0545389439999702</v>
      </c>
      <c r="BI47" s="19">
        <v>0</v>
      </c>
      <c r="BJ47" s="4"/>
      <c r="BK47" s="4"/>
      <c r="BL47" s="4"/>
      <c r="BM47" s="4"/>
      <c r="BN47" s="4"/>
      <c r="BO47" s="4"/>
      <c r="BP47" s="4"/>
      <c r="BQ47" s="4"/>
      <c r="BR47" s="4"/>
      <c r="BS47" s="4"/>
      <c r="BT47" s="4"/>
      <c r="BU47" s="4"/>
      <c r="BV47" s="4"/>
      <c r="BW47" s="4"/>
      <c r="BX47" s="4"/>
      <c r="BY47" s="4"/>
      <c r="BZ47" s="4"/>
      <c r="CA47" s="19">
        <v>100</v>
      </c>
      <c r="CB47" s="4"/>
      <c r="CC47" s="4"/>
      <c r="CD47" s="4"/>
      <c r="CE47" s="4"/>
      <c r="CF47" s="4"/>
      <c r="CG47" s="4"/>
      <c r="CH47" s="4"/>
      <c r="CI47" s="4"/>
      <c r="CJ47" s="4"/>
      <c r="CK47" s="4"/>
      <c r="CL47" s="4"/>
      <c r="CM47" s="4"/>
      <c r="CN47" s="4"/>
      <c r="CO47" s="4"/>
      <c r="CP47" s="4"/>
      <c r="CQ47" s="4"/>
      <c r="CR47" s="4"/>
      <c r="CS47" s="4"/>
      <c r="CT47" s="19">
        <v>1000</v>
      </c>
      <c r="CU47" s="19">
        <v>1000</v>
      </c>
    </row>
    <row r="48" spans="1:99" x14ac:dyDescent="0.3">
      <c r="A48" s="4" t="s">
        <v>73</v>
      </c>
      <c r="B48" s="4" t="s">
        <v>542</v>
      </c>
      <c r="C48" s="4" t="s">
        <v>363</v>
      </c>
      <c r="D48" s="4" t="s">
        <v>78</v>
      </c>
      <c r="E48" s="4" t="s">
        <v>48</v>
      </c>
      <c r="F48" s="19">
        <v>50</v>
      </c>
      <c r="G48" s="19">
        <v>20</v>
      </c>
      <c r="H48" s="19">
        <v>1000</v>
      </c>
      <c r="I48" s="19">
        <v>250</v>
      </c>
      <c r="J48" s="4" t="s">
        <v>521</v>
      </c>
      <c r="K48" s="4" t="s">
        <v>151</v>
      </c>
      <c r="L48" s="19">
        <v>180</v>
      </c>
      <c r="M48" s="19">
        <v>13000</v>
      </c>
      <c r="N48" s="19">
        <v>3.0532767999999999</v>
      </c>
      <c r="O48" s="19">
        <v>3.0543423359999999</v>
      </c>
      <c r="P48" s="19">
        <v>333.33333333333331</v>
      </c>
      <c r="Q48" s="19">
        <v>83.333333333333329</v>
      </c>
      <c r="R48" s="19">
        <v>81.85068093166096</v>
      </c>
      <c r="S48" s="19">
        <v>333.33333333333343</v>
      </c>
      <c r="T48" s="19">
        <v>81.85068093166096</v>
      </c>
      <c r="U48" s="19">
        <v>82.339406451448923</v>
      </c>
      <c r="V48" s="19">
        <v>3.0545389439999719</v>
      </c>
      <c r="W48" s="19">
        <v>3.0547355519998969</v>
      </c>
      <c r="X48" s="19">
        <v>3.0545389439999702</v>
      </c>
      <c r="Y48" s="19">
        <v>0.24503581444444439</v>
      </c>
      <c r="Z48" s="19">
        <v>3500</v>
      </c>
      <c r="AA48" s="19">
        <v>0</v>
      </c>
      <c r="AB48" s="19">
        <v>0</v>
      </c>
      <c r="AC48" s="19">
        <v>0</v>
      </c>
      <c r="AD48" s="19">
        <v>0.24701821935434681</v>
      </c>
      <c r="AE48" s="19">
        <v>1.0000643699946969</v>
      </c>
      <c r="AF48" s="4"/>
      <c r="AG48" s="19">
        <v>42</v>
      </c>
      <c r="AH48" s="19">
        <v>0</v>
      </c>
      <c r="AI48" s="19">
        <v>4</v>
      </c>
      <c r="AJ48" s="19">
        <v>20</v>
      </c>
      <c r="AK48" s="19">
        <v>1000</v>
      </c>
      <c r="AL48" s="19">
        <v>4000</v>
      </c>
      <c r="AM48" s="4" t="s">
        <v>523</v>
      </c>
      <c r="AN48" s="19">
        <v>0</v>
      </c>
      <c r="AO48" s="19">
        <v>0</v>
      </c>
      <c r="AP48" s="19">
        <v>16.37584905502181</v>
      </c>
      <c r="AQ48" s="19">
        <v>327.51698110043611</v>
      </c>
      <c r="AR48" s="19">
        <v>1.065536E-3</v>
      </c>
      <c r="AS48" s="19">
        <v>0</v>
      </c>
      <c r="AT48" s="19">
        <v>20</v>
      </c>
      <c r="AU48" s="19">
        <v>177.88309097983841</v>
      </c>
      <c r="AV48" s="19">
        <v>157.88309097983841</v>
      </c>
      <c r="AW48" s="19">
        <v>14500</v>
      </c>
      <c r="AX48" s="19">
        <v>3.0547355519999542</v>
      </c>
      <c r="AY48" s="19">
        <v>3500</v>
      </c>
      <c r="AZ48" s="19">
        <v>0</v>
      </c>
      <c r="BA48" s="4"/>
      <c r="BB48" s="4"/>
      <c r="BC48" s="19">
        <v>1.0000643699946969</v>
      </c>
      <c r="BD48" s="19">
        <v>13000</v>
      </c>
      <c r="BE48" s="19">
        <v>0</v>
      </c>
      <c r="BF48" s="19">
        <v>82.339406451448923</v>
      </c>
      <c r="BG48" s="19">
        <v>3.0545389439999719</v>
      </c>
      <c r="BH48" s="19">
        <v>3.0545389439999702</v>
      </c>
      <c r="BI48" s="19">
        <v>0</v>
      </c>
      <c r="BJ48" s="4"/>
      <c r="BK48" s="4"/>
      <c r="BL48" s="4"/>
      <c r="BM48" s="4"/>
      <c r="BN48" s="4"/>
      <c r="BO48" s="4"/>
      <c r="BP48" s="4"/>
      <c r="BQ48" s="4"/>
      <c r="BR48" s="4"/>
      <c r="BS48" s="4"/>
      <c r="BT48" s="4"/>
      <c r="BU48" s="4"/>
      <c r="BV48" s="4"/>
      <c r="BW48" s="4"/>
      <c r="BX48" s="4"/>
      <c r="BY48" s="4"/>
      <c r="BZ48" s="4"/>
      <c r="CA48" s="19">
        <v>250</v>
      </c>
      <c r="CB48" s="4"/>
      <c r="CC48" s="4"/>
      <c r="CD48" s="4"/>
      <c r="CE48" s="4"/>
      <c r="CF48" s="4"/>
      <c r="CG48" s="4"/>
      <c r="CH48" s="4"/>
      <c r="CI48" s="4"/>
      <c r="CJ48" s="4"/>
      <c r="CK48" s="4"/>
      <c r="CL48" s="4"/>
      <c r="CM48" s="4"/>
      <c r="CN48" s="4"/>
      <c r="CO48" s="4"/>
      <c r="CP48" s="4"/>
      <c r="CQ48" s="4"/>
      <c r="CR48" s="4"/>
      <c r="CS48" s="4"/>
      <c r="CT48" s="19">
        <v>1000</v>
      </c>
      <c r="CU48" s="19">
        <v>1000</v>
      </c>
    </row>
    <row r="49" spans="1:99" x14ac:dyDescent="0.3">
      <c r="A49" s="4" t="s">
        <v>73</v>
      </c>
      <c r="B49" s="4" t="s">
        <v>543</v>
      </c>
      <c r="C49" s="4" t="s">
        <v>364</v>
      </c>
      <c r="D49" s="4" t="s">
        <v>78</v>
      </c>
      <c r="E49" s="4" t="s">
        <v>48</v>
      </c>
      <c r="F49" s="19">
        <v>50</v>
      </c>
      <c r="G49" s="19">
        <v>20</v>
      </c>
      <c r="H49" s="19">
        <v>1000</v>
      </c>
      <c r="I49" s="19">
        <v>500</v>
      </c>
      <c r="J49" s="4" t="s">
        <v>521</v>
      </c>
      <c r="K49" s="4" t="s">
        <v>151</v>
      </c>
      <c r="L49" s="19">
        <v>180</v>
      </c>
      <c r="M49" s="19">
        <v>26000</v>
      </c>
      <c r="N49" s="19">
        <v>3.0532767999999999</v>
      </c>
      <c r="O49" s="19">
        <v>3.0543423359999999</v>
      </c>
      <c r="P49" s="19">
        <v>333.33333333333331</v>
      </c>
      <c r="Q49" s="19">
        <v>166.66666666666671</v>
      </c>
      <c r="R49" s="19">
        <v>163.70136186332189</v>
      </c>
      <c r="S49" s="19">
        <v>333.33333333333343</v>
      </c>
      <c r="T49" s="19">
        <v>163.70136186332189</v>
      </c>
      <c r="U49" s="19">
        <v>163.9311338063543</v>
      </c>
      <c r="V49" s="19">
        <v>3.0545389439999719</v>
      </c>
      <c r="W49" s="19">
        <v>3.0547355519998969</v>
      </c>
      <c r="X49" s="19">
        <v>3.0545389439999702</v>
      </c>
      <c r="Y49" s="19">
        <v>0.48903141222222218</v>
      </c>
      <c r="Z49" s="19">
        <v>7000</v>
      </c>
      <c r="AA49" s="19">
        <v>0</v>
      </c>
      <c r="AB49" s="19">
        <v>0</v>
      </c>
      <c r="AC49" s="19">
        <v>0</v>
      </c>
      <c r="AD49" s="19">
        <v>0.49179340141906303</v>
      </c>
      <c r="AE49" s="19">
        <v>1.0000643699946969</v>
      </c>
      <c r="AF49" s="4"/>
      <c r="AG49" s="19">
        <v>42</v>
      </c>
      <c r="AH49" s="19">
        <v>0</v>
      </c>
      <c r="AI49" s="19">
        <v>4</v>
      </c>
      <c r="AJ49" s="19">
        <v>20</v>
      </c>
      <c r="AK49" s="19">
        <v>1000</v>
      </c>
      <c r="AL49" s="19">
        <v>4000</v>
      </c>
      <c r="AM49" s="4" t="s">
        <v>523</v>
      </c>
      <c r="AN49" s="19">
        <v>0</v>
      </c>
      <c r="AO49" s="19">
        <v>0</v>
      </c>
      <c r="AP49" s="19">
        <v>16.37584905502181</v>
      </c>
      <c r="AQ49" s="19">
        <v>327.51698110043611</v>
      </c>
      <c r="AR49" s="19">
        <v>1.065536E-3</v>
      </c>
      <c r="AS49" s="19">
        <v>0</v>
      </c>
      <c r="AT49" s="19">
        <v>20</v>
      </c>
      <c r="AU49" s="19">
        <v>178.60318535167829</v>
      </c>
      <c r="AV49" s="19">
        <v>158.60318535167829</v>
      </c>
      <c r="AW49" s="19">
        <v>29000</v>
      </c>
      <c r="AX49" s="19">
        <v>3.054735552000011</v>
      </c>
      <c r="AY49" s="19">
        <v>7000</v>
      </c>
      <c r="AZ49" s="19">
        <v>0</v>
      </c>
      <c r="BA49" s="4"/>
      <c r="BB49" s="4"/>
      <c r="BC49" s="19">
        <v>1.0000643699946969</v>
      </c>
      <c r="BD49" s="19">
        <v>26000</v>
      </c>
      <c r="BE49" s="19">
        <v>0</v>
      </c>
      <c r="BF49" s="19">
        <v>163.9311338063543</v>
      </c>
      <c r="BG49" s="19">
        <v>3.0545389439999719</v>
      </c>
      <c r="BH49" s="19">
        <v>3.0545389439999702</v>
      </c>
      <c r="BI49" s="19">
        <v>0</v>
      </c>
      <c r="BJ49" s="4"/>
      <c r="BK49" s="4"/>
      <c r="BL49" s="4"/>
      <c r="BM49" s="4"/>
      <c r="BN49" s="4"/>
      <c r="BO49" s="4"/>
      <c r="BP49" s="4"/>
      <c r="BQ49" s="4"/>
      <c r="BR49" s="4"/>
      <c r="BS49" s="4"/>
      <c r="BT49" s="4"/>
      <c r="BU49" s="4"/>
      <c r="BV49" s="4"/>
      <c r="BW49" s="4"/>
      <c r="BX49" s="4"/>
      <c r="BY49" s="4"/>
      <c r="BZ49" s="4"/>
      <c r="CA49" s="19">
        <v>500</v>
      </c>
      <c r="CB49" s="4"/>
      <c r="CC49" s="4"/>
      <c r="CD49" s="4"/>
      <c r="CE49" s="4"/>
      <c r="CF49" s="4"/>
      <c r="CG49" s="4"/>
      <c r="CH49" s="4"/>
      <c r="CI49" s="4"/>
      <c r="CJ49" s="4"/>
      <c r="CK49" s="4"/>
      <c r="CL49" s="4"/>
      <c r="CM49" s="4"/>
      <c r="CN49" s="4"/>
      <c r="CO49" s="4"/>
      <c r="CP49" s="4"/>
      <c r="CQ49" s="4"/>
      <c r="CR49" s="4"/>
      <c r="CS49" s="4"/>
      <c r="CT49" s="19">
        <v>1000</v>
      </c>
      <c r="CU49" s="19">
        <v>1000</v>
      </c>
    </row>
    <row r="50" spans="1:99" x14ac:dyDescent="0.3">
      <c r="A50" s="4" t="s">
        <v>73</v>
      </c>
      <c r="B50" s="4" t="s">
        <v>544</v>
      </c>
      <c r="C50" s="4" t="s">
        <v>365</v>
      </c>
      <c r="D50" s="4" t="s">
        <v>78</v>
      </c>
      <c r="E50" s="4" t="s">
        <v>48</v>
      </c>
      <c r="F50" s="19">
        <v>50</v>
      </c>
      <c r="G50" s="19">
        <v>20</v>
      </c>
      <c r="H50" s="19">
        <v>1000</v>
      </c>
      <c r="I50" s="19">
        <v>1000</v>
      </c>
      <c r="J50" s="4" t="s">
        <v>521</v>
      </c>
      <c r="K50" s="4" t="s">
        <v>151</v>
      </c>
      <c r="L50" s="19">
        <v>180</v>
      </c>
      <c r="M50" s="19">
        <v>52400</v>
      </c>
      <c r="N50" s="19">
        <v>3.0532767999999999</v>
      </c>
      <c r="O50" s="19">
        <v>3.0543423359999999</v>
      </c>
      <c r="P50" s="19">
        <v>333.33333333333331</v>
      </c>
      <c r="Q50" s="19">
        <v>333.33333333333331</v>
      </c>
      <c r="R50" s="19">
        <v>327.40272372664379</v>
      </c>
      <c r="S50" s="19">
        <v>333.33333333333343</v>
      </c>
      <c r="T50" s="19">
        <v>327.40272372664379</v>
      </c>
      <c r="U50" s="19">
        <v>327.53405078579908</v>
      </c>
      <c r="V50" s="19">
        <v>3.0544734080002338</v>
      </c>
      <c r="W50" s="19">
        <v>3.0547355519998969</v>
      </c>
      <c r="X50" s="19">
        <v>3.054538443725161</v>
      </c>
      <c r="Y50" s="19">
        <v>0.97401589666666666</v>
      </c>
      <c r="Z50" s="19">
        <v>14000</v>
      </c>
      <c r="AA50" s="19">
        <v>0</v>
      </c>
      <c r="AB50" s="19">
        <v>0</v>
      </c>
      <c r="AC50" s="19">
        <v>0</v>
      </c>
      <c r="AD50" s="19">
        <v>0.98260215235739734</v>
      </c>
      <c r="AE50" s="19">
        <v>1.0000429133298809</v>
      </c>
      <c r="AF50" s="4"/>
      <c r="AG50" s="19">
        <v>42</v>
      </c>
      <c r="AH50" s="19">
        <v>0</v>
      </c>
      <c r="AI50" s="19">
        <v>4</v>
      </c>
      <c r="AJ50" s="19">
        <v>20</v>
      </c>
      <c r="AK50" s="19">
        <v>1000</v>
      </c>
      <c r="AL50" s="19">
        <v>4000</v>
      </c>
      <c r="AM50" s="4" t="s">
        <v>523</v>
      </c>
      <c r="AN50" s="19">
        <v>0</v>
      </c>
      <c r="AO50" s="19">
        <v>0</v>
      </c>
      <c r="AP50" s="19">
        <v>16.37584905502181</v>
      </c>
      <c r="AQ50" s="19">
        <v>327.51698110043611</v>
      </c>
      <c r="AR50" s="19">
        <v>1.065536E-3</v>
      </c>
      <c r="AS50" s="19">
        <v>0</v>
      </c>
      <c r="AT50" s="19">
        <v>20</v>
      </c>
      <c r="AU50" s="19">
        <v>179.9833662310383</v>
      </c>
      <c r="AV50" s="19">
        <v>159.9833662310383</v>
      </c>
      <c r="AW50" s="19">
        <v>57960</v>
      </c>
      <c r="AX50" s="19">
        <v>3.0547355520001531</v>
      </c>
      <c r="AY50" s="19">
        <v>14000</v>
      </c>
      <c r="AZ50" s="19">
        <v>0</v>
      </c>
      <c r="BA50" s="4"/>
      <c r="BB50" s="4"/>
      <c r="BC50" s="19">
        <v>1.000064206203362</v>
      </c>
      <c r="BD50" s="19">
        <v>52400</v>
      </c>
      <c r="BE50" s="19">
        <v>0</v>
      </c>
      <c r="BF50" s="19">
        <v>327.53405078579908</v>
      </c>
      <c r="BG50" s="19">
        <v>3.0544734080002338</v>
      </c>
      <c r="BH50" s="19">
        <v>3.054538443725161</v>
      </c>
      <c r="BI50" s="19">
        <v>0</v>
      </c>
      <c r="BJ50" s="4"/>
      <c r="BK50" s="4"/>
      <c r="BL50" s="4"/>
      <c r="BM50" s="4"/>
      <c r="BN50" s="4"/>
      <c r="BO50" s="4"/>
      <c r="BP50" s="4"/>
      <c r="BQ50" s="4"/>
      <c r="BR50" s="4"/>
      <c r="BS50" s="4"/>
      <c r="BT50" s="4"/>
      <c r="BU50" s="4"/>
      <c r="BV50" s="4"/>
      <c r="BW50" s="4"/>
      <c r="BX50" s="4"/>
      <c r="BY50" s="4"/>
      <c r="BZ50" s="4"/>
      <c r="CA50" s="19">
        <v>1000</v>
      </c>
      <c r="CB50" s="4"/>
      <c r="CC50" s="4"/>
      <c r="CD50" s="4"/>
      <c r="CE50" s="4"/>
      <c r="CF50" s="4"/>
      <c r="CG50" s="4"/>
      <c r="CH50" s="4"/>
      <c r="CI50" s="4"/>
      <c r="CJ50" s="4"/>
      <c r="CK50" s="4"/>
      <c r="CL50" s="4"/>
      <c r="CM50" s="4"/>
      <c r="CN50" s="4"/>
      <c r="CO50" s="4"/>
      <c r="CP50" s="4"/>
      <c r="CQ50" s="4"/>
      <c r="CR50" s="4"/>
      <c r="CS50" s="4"/>
      <c r="CT50" s="19">
        <v>1000</v>
      </c>
      <c r="CU50" s="19">
        <v>1000</v>
      </c>
    </row>
    <row r="51" spans="1:99" x14ac:dyDescent="0.3">
      <c r="A51" s="4" t="s">
        <v>73</v>
      </c>
      <c r="B51" s="4" t="s">
        <v>545</v>
      </c>
      <c r="C51" s="4" t="s">
        <v>366</v>
      </c>
      <c r="D51" s="4" t="s">
        <v>78</v>
      </c>
      <c r="E51" s="4" t="s">
        <v>48</v>
      </c>
      <c r="F51" s="19">
        <v>50</v>
      </c>
      <c r="G51" s="19">
        <v>20</v>
      </c>
      <c r="H51" s="19">
        <v>1000</v>
      </c>
      <c r="I51" s="19">
        <v>1500</v>
      </c>
      <c r="J51" s="4" t="s">
        <v>521</v>
      </c>
      <c r="K51" s="4" t="s">
        <v>151</v>
      </c>
      <c r="L51" s="19">
        <v>180</v>
      </c>
      <c r="M51" s="19">
        <v>53320</v>
      </c>
      <c r="N51" s="19">
        <v>3.0532767999999999</v>
      </c>
      <c r="O51" s="19">
        <v>3.0543423359999999</v>
      </c>
      <c r="P51" s="19">
        <v>333.33333333333331</v>
      </c>
      <c r="Q51" s="19">
        <v>333.33333333333331</v>
      </c>
      <c r="R51" s="19">
        <v>491.10408558996579</v>
      </c>
      <c r="S51" s="19">
        <v>333.33333333333343</v>
      </c>
      <c r="T51" s="19">
        <v>333.33333333333343</v>
      </c>
      <c r="U51" s="19">
        <v>333.36225330623978</v>
      </c>
      <c r="V51" s="19">
        <v>4.5002909798400594</v>
      </c>
      <c r="W51" s="19">
        <v>4.5005609881600606</v>
      </c>
      <c r="X51" s="19">
        <v>4.5002930899714082</v>
      </c>
      <c r="Y51" s="19">
        <v>0.9915310799999999</v>
      </c>
      <c r="Z51" s="19">
        <v>13980</v>
      </c>
      <c r="AA51" s="19">
        <v>0</v>
      </c>
      <c r="AB51" s="19">
        <v>0</v>
      </c>
      <c r="AC51" s="19">
        <v>0</v>
      </c>
      <c r="AD51" s="19">
        <v>1.00008675991872</v>
      </c>
      <c r="AE51" s="19">
        <v>1.4734075243620821</v>
      </c>
      <c r="AF51" s="4"/>
      <c r="AG51" s="19">
        <v>42</v>
      </c>
      <c r="AH51" s="19">
        <v>0</v>
      </c>
      <c r="AI51" s="19">
        <v>4</v>
      </c>
      <c r="AJ51" s="19">
        <v>20</v>
      </c>
      <c r="AK51" s="19">
        <v>1000</v>
      </c>
      <c r="AL51" s="19">
        <v>4000</v>
      </c>
      <c r="AM51" s="4" t="s">
        <v>523</v>
      </c>
      <c r="AN51" s="19">
        <v>0</v>
      </c>
      <c r="AO51" s="19">
        <v>0</v>
      </c>
      <c r="AP51" s="19">
        <v>16.37584905502181</v>
      </c>
      <c r="AQ51" s="19">
        <v>327.51698110043611</v>
      </c>
      <c r="AR51" s="19">
        <v>1.065536E-3</v>
      </c>
      <c r="AS51" s="19">
        <v>0</v>
      </c>
      <c r="AT51" s="19">
        <v>20</v>
      </c>
      <c r="AU51" s="19">
        <v>179.9461230873614</v>
      </c>
      <c r="AV51" s="19">
        <v>159.9461230873614</v>
      </c>
      <c r="AW51" s="19">
        <v>58980</v>
      </c>
      <c r="AX51" s="19">
        <v>4.5005872025599558</v>
      </c>
      <c r="AY51" s="19">
        <v>13980</v>
      </c>
      <c r="AZ51" s="19">
        <v>0</v>
      </c>
      <c r="BA51" s="4"/>
      <c r="BB51" s="4"/>
      <c r="BC51" s="19">
        <v>1.4734082152248329</v>
      </c>
      <c r="BD51" s="19">
        <v>53320</v>
      </c>
      <c r="BE51" s="19">
        <v>0</v>
      </c>
      <c r="BF51" s="19">
        <v>333.36225330623978</v>
      </c>
      <c r="BG51" s="19">
        <v>4.5002909798400594</v>
      </c>
      <c r="BH51" s="19">
        <v>4.5002930899714082</v>
      </c>
      <c r="BI51" s="19">
        <v>0</v>
      </c>
      <c r="BJ51" s="4"/>
      <c r="BK51" s="4"/>
      <c r="BL51" s="4"/>
      <c r="BM51" s="4"/>
      <c r="BN51" s="4"/>
      <c r="BO51" s="4"/>
      <c r="BP51" s="4"/>
      <c r="BQ51" s="4"/>
      <c r="BR51" s="4"/>
      <c r="BS51" s="4"/>
      <c r="BT51" s="4"/>
      <c r="BU51" s="4"/>
      <c r="BV51" s="4"/>
      <c r="BW51" s="4"/>
      <c r="BX51" s="4"/>
      <c r="BY51" s="4"/>
      <c r="BZ51" s="4"/>
      <c r="CA51" s="19">
        <v>1500</v>
      </c>
      <c r="CB51" s="4"/>
      <c r="CC51" s="4"/>
      <c r="CD51" s="4"/>
      <c r="CE51" s="4"/>
      <c r="CF51" s="4"/>
      <c r="CG51" s="4"/>
      <c r="CH51" s="4"/>
      <c r="CI51" s="4"/>
      <c r="CJ51" s="4"/>
      <c r="CK51" s="4"/>
      <c r="CL51" s="4"/>
      <c r="CM51" s="4"/>
      <c r="CN51" s="4"/>
      <c r="CO51" s="4"/>
      <c r="CP51" s="4"/>
      <c r="CQ51" s="4"/>
      <c r="CR51" s="4"/>
      <c r="CS51" s="4"/>
      <c r="CT51" s="19">
        <v>1000</v>
      </c>
      <c r="CU51" s="19">
        <v>1000</v>
      </c>
    </row>
    <row r="52" spans="1:99" x14ac:dyDescent="0.3">
      <c r="A52" s="4" t="s">
        <v>73</v>
      </c>
      <c r="B52" s="4" t="s">
        <v>546</v>
      </c>
      <c r="C52" s="4" t="s">
        <v>367</v>
      </c>
      <c r="D52" s="4" t="s">
        <v>78</v>
      </c>
      <c r="E52" s="4" t="s">
        <v>48</v>
      </c>
      <c r="F52" s="19">
        <v>50</v>
      </c>
      <c r="G52" s="19">
        <v>20</v>
      </c>
      <c r="H52" s="19">
        <v>1000</v>
      </c>
      <c r="I52" s="19">
        <v>2000</v>
      </c>
      <c r="J52" s="4" t="s">
        <v>521</v>
      </c>
      <c r="K52" s="4" t="s">
        <v>151</v>
      </c>
      <c r="L52" s="19">
        <v>180</v>
      </c>
      <c r="M52" s="19">
        <v>53320</v>
      </c>
      <c r="N52" s="19">
        <v>3.0532767999999999</v>
      </c>
      <c r="O52" s="19">
        <v>3.0543423359999999</v>
      </c>
      <c r="P52" s="19">
        <v>333.33333333333331</v>
      </c>
      <c r="Q52" s="19">
        <v>333.33333333333331</v>
      </c>
      <c r="R52" s="19">
        <v>654.80544745328768</v>
      </c>
      <c r="S52" s="19">
        <v>333.33333333333343</v>
      </c>
      <c r="T52" s="19">
        <v>333.33333333333343</v>
      </c>
      <c r="U52" s="19">
        <v>333.3627887444996</v>
      </c>
      <c r="V52" s="19">
        <v>6.0004037017600353</v>
      </c>
      <c r="W52" s="19">
        <v>6.0007628390399361</v>
      </c>
      <c r="X52" s="19">
        <v>6.0004032671477274</v>
      </c>
      <c r="Y52" s="19">
        <v>0.99152891555555556</v>
      </c>
      <c r="Z52" s="19">
        <v>14000</v>
      </c>
      <c r="AA52" s="19">
        <v>0</v>
      </c>
      <c r="AB52" s="19">
        <v>0</v>
      </c>
      <c r="AC52" s="19">
        <v>0</v>
      </c>
      <c r="AD52" s="19">
        <v>1.0000883662334989</v>
      </c>
      <c r="AE52" s="19">
        <v>1.9645485154156721</v>
      </c>
      <c r="AF52" s="4"/>
      <c r="AG52" s="19">
        <v>42</v>
      </c>
      <c r="AH52" s="19">
        <v>0</v>
      </c>
      <c r="AI52" s="19">
        <v>4</v>
      </c>
      <c r="AJ52" s="19">
        <v>20</v>
      </c>
      <c r="AK52" s="19">
        <v>1000</v>
      </c>
      <c r="AL52" s="19">
        <v>4000</v>
      </c>
      <c r="AM52" s="4" t="s">
        <v>523</v>
      </c>
      <c r="AN52" s="19">
        <v>0</v>
      </c>
      <c r="AO52" s="19">
        <v>0</v>
      </c>
      <c r="AP52" s="19">
        <v>16.37584905502181</v>
      </c>
      <c r="AQ52" s="19">
        <v>327.51698110043611</v>
      </c>
      <c r="AR52" s="19">
        <v>1.065536E-3</v>
      </c>
      <c r="AS52" s="19">
        <v>0</v>
      </c>
      <c r="AT52" s="19">
        <v>20</v>
      </c>
      <c r="AU52" s="19">
        <v>179.9458661862414</v>
      </c>
      <c r="AV52" s="19">
        <v>159.9458661862414</v>
      </c>
      <c r="AW52" s="19">
        <v>58980</v>
      </c>
      <c r="AX52" s="19">
        <v>6.0008467251198461</v>
      </c>
      <c r="AY52" s="19">
        <v>14000</v>
      </c>
      <c r="AZ52" s="19">
        <v>0</v>
      </c>
      <c r="BA52" s="4"/>
      <c r="BB52" s="4"/>
      <c r="BC52" s="19">
        <v>1.964548373122418</v>
      </c>
      <c r="BD52" s="19">
        <v>53320</v>
      </c>
      <c r="BE52" s="19">
        <v>0</v>
      </c>
      <c r="BF52" s="19">
        <v>333.3627887444996</v>
      </c>
      <c r="BG52" s="19">
        <v>6.0004037017600353</v>
      </c>
      <c r="BH52" s="19">
        <v>6.0004032671477274</v>
      </c>
      <c r="BI52" s="19">
        <v>0</v>
      </c>
      <c r="BJ52" s="4"/>
      <c r="BK52" s="4"/>
      <c r="BL52" s="4"/>
      <c r="BM52" s="4"/>
      <c r="BN52" s="4"/>
      <c r="BO52" s="4"/>
      <c r="BP52" s="4"/>
      <c r="BQ52" s="4"/>
      <c r="BR52" s="4"/>
      <c r="BS52" s="4"/>
      <c r="BT52" s="4"/>
      <c r="BU52" s="4"/>
      <c r="BV52" s="4"/>
      <c r="BW52" s="4"/>
      <c r="BX52" s="4"/>
      <c r="BY52" s="4"/>
      <c r="BZ52" s="4"/>
      <c r="CA52" s="19">
        <v>2000</v>
      </c>
      <c r="CB52" s="4"/>
      <c r="CC52" s="4"/>
      <c r="CD52" s="4"/>
      <c r="CE52" s="4"/>
      <c r="CF52" s="4"/>
      <c r="CG52" s="4"/>
      <c r="CH52" s="4"/>
      <c r="CI52" s="4"/>
      <c r="CJ52" s="4"/>
      <c r="CK52" s="4"/>
      <c r="CL52" s="4"/>
      <c r="CM52" s="4"/>
      <c r="CN52" s="4"/>
      <c r="CO52" s="4"/>
      <c r="CP52" s="4"/>
      <c r="CQ52" s="4"/>
      <c r="CR52" s="4"/>
      <c r="CS52" s="4"/>
      <c r="CT52" s="19">
        <v>1000</v>
      </c>
      <c r="CU52" s="19">
        <v>1000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03"/>
  <sheetViews>
    <sheetView workbookViewId="0">
      <pane ySplit="4" topLeftCell="A5" activePane="bottomLeft" state="frozen"/>
      <selection pane="bottomLeft"/>
    </sheetView>
  </sheetViews>
  <sheetFormatPr defaultRowHeight="14.4" x14ac:dyDescent="0.3"/>
  <cols>
    <col min="1" max="1" width="34" customWidth="1"/>
    <col min="2" max="2" width="14" customWidth="1"/>
    <col min="3" max="3" width="16" customWidth="1"/>
    <col min="4" max="4" width="104" customWidth="1"/>
  </cols>
  <sheetData>
    <row r="1" spans="1:4" ht="17.399999999999999" x14ac:dyDescent="0.3">
      <c r="A1" s="14" t="s">
        <v>547</v>
      </c>
    </row>
    <row r="2" spans="1:4" x14ac:dyDescent="0.3">
      <c r="A2" s="2" t="s">
        <v>548</v>
      </c>
    </row>
    <row r="4" spans="1:4" x14ac:dyDescent="0.3">
      <c r="A4" s="3" t="s">
        <v>549</v>
      </c>
      <c r="B4" s="3" t="s">
        <v>550</v>
      </c>
      <c r="C4" s="3" t="s">
        <v>109</v>
      </c>
      <c r="D4" s="3" t="s">
        <v>551</v>
      </c>
    </row>
    <row r="5" spans="1:4" x14ac:dyDescent="0.3">
      <c r="A5" s="4" t="s">
        <v>479</v>
      </c>
      <c r="B5" s="4" t="s">
        <v>552</v>
      </c>
      <c r="C5" s="4" t="s">
        <v>553</v>
      </c>
      <c r="D5" s="15" t="s">
        <v>554</v>
      </c>
    </row>
    <row r="6" spans="1:4" ht="26.4" x14ac:dyDescent="0.3">
      <c r="A6" s="4" t="s">
        <v>258</v>
      </c>
      <c r="B6" s="4" t="s">
        <v>552</v>
      </c>
      <c r="C6" s="4" t="s">
        <v>553</v>
      </c>
      <c r="D6" s="15" t="s">
        <v>555</v>
      </c>
    </row>
    <row r="7" spans="1:4" ht="26.4" x14ac:dyDescent="0.3">
      <c r="A7" s="4" t="s">
        <v>358</v>
      </c>
      <c r="B7" s="4" t="s">
        <v>552</v>
      </c>
      <c r="C7" s="4" t="s">
        <v>553</v>
      </c>
      <c r="D7" s="15" t="s">
        <v>556</v>
      </c>
    </row>
    <row r="8" spans="1:4" ht="26.4" x14ac:dyDescent="0.3">
      <c r="A8" s="4" t="s">
        <v>296</v>
      </c>
      <c r="B8" s="4" t="s">
        <v>557</v>
      </c>
      <c r="C8" s="4" t="s">
        <v>140</v>
      </c>
      <c r="D8" s="15" t="s">
        <v>558</v>
      </c>
    </row>
    <row r="9" spans="1:4" ht="26.4" x14ac:dyDescent="0.3">
      <c r="A9" s="4" t="s">
        <v>297</v>
      </c>
      <c r="B9" s="4" t="s">
        <v>557</v>
      </c>
      <c r="C9" s="4" t="s">
        <v>140</v>
      </c>
      <c r="D9" s="15" t="s">
        <v>559</v>
      </c>
    </row>
    <row r="10" spans="1:4" ht="26.4" x14ac:dyDescent="0.3">
      <c r="A10" s="4" t="s">
        <v>370</v>
      </c>
      <c r="B10" s="4" t="s">
        <v>560</v>
      </c>
      <c r="C10" s="4" t="s">
        <v>561</v>
      </c>
      <c r="D10" s="15" t="s">
        <v>562</v>
      </c>
    </row>
    <row r="11" spans="1:4" x14ac:dyDescent="0.3">
      <c r="A11" s="4" t="s">
        <v>460</v>
      </c>
      <c r="B11" s="4" t="s">
        <v>560</v>
      </c>
      <c r="C11" s="4" t="s">
        <v>561</v>
      </c>
      <c r="D11" s="15" t="s">
        <v>563</v>
      </c>
    </row>
    <row r="12" spans="1:4" x14ac:dyDescent="0.3">
      <c r="A12" s="4" t="s">
        <v>239</v>
      </c>
      <c r="B12" s="4" t="s">
        <v>560</v>
      </c>
      <c r="C12" s="4" t="s">
        <v>561</v>
      </c>
      <c r="D12" s="15" t="s">
        <v>564</v>
      </c>
    </row>
    <row r="13" spans="1:4" x14ac:dyDescent="0.3">
      <c r="A13" s="4" t="s">
        <v>371</v>
      </c>
      <c r="B13" s="4" t="s">
        <v>560</v>
      </c>
      <c r="C13" s="4" t="s">
        <v>561</v>
      </c>
      <c r="D13" s="15" t="s">
        <v>565</v>
      </c>
    </row>
    <row r="14" spans="1:4" x14ac:dyDescent="0.3">
      <c r="A14" s="4" t="s">
        <v>461</v>
      </c>
      <c r="B14" s="4" t="s">
        <v>560</v>
      </c>
      <c r="C14" s="4" t="s">
        <v>112</v>
      </c>
      <c r="D14" s="15" t="s">
        <v>566</v>
      </c>
    </row>
    <row r="15" spans="1:4" x14ac:dyDescent="0.3">
      <c r="A15" s="4" t="s">
        <v>459</v>
      </c>
      <c r="B15" s="4" t="s">
        <v>567</v>
      </c>
      <c r="C15" s="4" t="s">
        <v>112</v>
      </c>
      <c r="D15" s="15" t="s">
        <v>568</v>
      </c>
    </row>
    <row r="16" spans="1:4" x14ac:dyDescent="0.3">
      <c r="A16" s="4" t="s">
        <v>478</v>
      </c>
      <c r="B16" s="4" t="s">
        <v>567</v>
      </c>
      <c r="C16" s="4" t="s">
        <v>112</v>
      </c>
      <c r="D16" s="15" t="s">
        <v>569</v>
      </c>
    </row>
    <row r="17" spans="1:4" x14ac:dyDescent="0.3">
      <c r="A17" s="4" t="s">
        <v>236</v>
      </c>
      <c r="B17" s="4" t="s">
        <v>567</v>
      </c>
      <c r="C17" s="4" t="s">
        <v>570</v>
      </c>
      <c r="D17" s="15" t="s">
        <v>571</v>
      </c>
    </row>
    <row r="18" spans="1:4" ht="26.4" x14ac:dyDescent="0.3">
      <c r="A18" s="4" t="s">
        <v>458</v>
      </c>
      <c r="B18" s="4" t="s">
        <v>567</v>
      </c>
      <c r="C18" s="4" t="s">
        <v>140</v>
      </c>
      <c r="D18" s="15" t="s">
        <v>572</v>
      </c>
    </row>
    <row r="19" spans="1:4" x14ac:dyDescent="0.3">
      <c r="A19" s="4" t="s">
        <v>484</v>
      </c>
      <c r="B19" s="4" t="s">
        <v>567</v>
      </c>
      <c r="C19" s="4" t="s">
        <v>140</v>
      </c>
      <c r="D19" s="15" t="s">
        <v>573</v>
      </c>
    </row>
    <row r="20" spans="1:4" x14ac:dyDescent="0.3">
      <c r="A20" s="4" t="s">
        <v>233</v>
      </c>
      <c r="B20" s="4" t="s">
        <v>567</v>
      </c>
      <c r="C20" s="4" t="s">
        <v>140</v>
      </c>
      <c r="D20" s="15" t="s">
        <v>574</v>
      </c>
    </row>
    <row r="21" spans="1:4" x14ac:dyDescent="0.3">
      <c r="A21" s="4" t="s">
        <v>483</v>
      </c>
      <c r="B21" s="4" t="s">
        <v>567</v>
      </c>
      <c r="C21" s="4" t="s">
        <v>140</v>
      </c>
      <c r="D21" s="15" t="s">
        <v>575</v>
      </c>
    </row>
    <row r="22" spans="1:4" x14ac:dyDescent="0.3">
      <c r="A22" s="4" t="s">
        <v>234</v>
      </c>
      <c r="B22" s="4" t="s">
        <v>567</v>
      </c>
      <c r="C22" s="4" t="s">
        <v>140</v>
      </c>
      <c r="D22" s="15" t="s">
        <v>576</v>
      </c>
    </row>
    <row r="23" spans="1:4" x14ac:dyDescent="0.3">
      <c r="A23" s="4" t="s">
        <v>476</v>
      </c>
      <c r="B23" s="4" t="s">
        <v>567</v>
      </c>
      <c r="C23" s="4" t="s">
        <v>140</v>
      </c>
      <c r="D23" s="15" t="s">
        <v>577</v>
      </c>
    </row>
    <row r="24" spans="1:4" x14ac:dyDescent="0.3">
      <c r="A24" s="4" t="s">
        <v>228</v>
      </c>
      <c r="B24" s="4" t="s">
        <v>567</v>
      </c>
      <c r="C24" s="4" t="s">
        <v>578</v>
      </c>
      <c r="D24" s="15" t="s">
        <v>579</v>
      </c>
    </row>
    <row r="25" spans="1:4" x14ac:dyDescent="0.3">
      <c r="A25" s="4" t="s">
        <v>482</v>
      </c>
      <c r="B25" s="4" t="s">
        <v>567</v>
      </c>
      <c r="C25" s="4" t="s">
        <v>578</v>
      </c>
      <c r="D25" s="15" t="s">
        <v>580</v>
      </c>
    </row>
    <row r="26" spans="1:4" x14ac:dyDescent="0.3">
      <c r="A26" s="4" t="s">
        <v>238</v>
      </c>
      <c r="B26" s="4" t="s">
        <v>567</v>
      </c>
      <c r="C26" s="4" t="s">
        <v>112</v>
      </c>
      <c r="D26" s="15" t="s">
        <v>581</v>
      </c>
    </row>
    <row r="27" spans="1:4" x14ac:dyDescent="0.3">
      <c r="A27" s="4" t="s">
        <v>237</v>
      </c>
      <c r="B27" s="4" t="s">
        <v>567</v>
      </c>
      <c r="C27" s="4" t="s">
        <v>112</v>
      </c>
      <c r="D27" s="15" t="s">
        <v>582</v>
      </c>
    </row>
    <row r="28" spans="1:4" x14ac:dyDescent="0.3">
      <c r="A28" s="4" t="s">
        <v>477</v>
      </c>
      <c r="B28" s="4" t="s">
        <v>567</v>
      </c>
      <c r="C28" s="4" t="s">
        <v>112</v>
      </c>
      <c r="D28" s="15" t="s">
        <v>583</v>
      </c>
    </row>
    <row r="29" spans="1:4" x14ac:dyDescent="0.3">
      <c r="A29" s="4" t="s">
        <v>295</v>
      </c>
      <c r="B29" s="4" t="s">
        <v>567</v>
      </c>
      <c r="C29" s="4" t="s">
        <v>112</v>
      </c>
      <c r="D29" s="15" t="s">
        <v>584</v>
      </c>
    </row>
    <row r="30" spans="1:4" x14ac:dyDescent="0.3">
      <c r="A30" s="4" t="s">
        <v>485</v>
      </c>
      <c r="B30" s="4" t="s">
        <v>567</v>
      </c>
      <c r="C30" s="4" t="s">
        <v>112</v>
      </c>
      <c r="D30" s="15" t="s">
        <v>585</v>
      </c>
    </row>
    <row r="31" spans="1:4" x14ac:dyDescent="0.3">
      <c r="A31" s="4" t="s">
        <v>480</v>
      </c>
      <c r="B31" s="4" t="s">
        <v>567</v>
      </c>
      <c r="C31" s="4" t="s">
        <v>112</v>
      </c>
      <c r="D31" s="15" t="s">
        <v>586</v>
      </c>
    </row>
    <row r="32" spans="1:4" x14ac:dyDescent="0.3">
      <c r="A32" s="4" t="s">
        <v>259</v>
      </c>
      <c r="B32" s="4" t="s">
        <v>567</v>
      </c>
      <c r="C32" s="4" t="s">
        <v>112</v>
      </c>
      <c r="D32" s="15" t="s">
        <v>587</v>
      </c>
    </row>
    <row r="33" spans="1:4" x14ac:dyDescent="0.3">
      <c r="A33" s="4" t="s">
        <v>475</v>
      </c>
      <c r="B33" s="4" t="s">
        <v>567</v>
      </c>
      <c r="C33" s="4" t="s">
        <v>112</v>
      </c>
      <c r="D33" s="15" t="s">
        <v>588</v>
      </c>
    </row>
    <row r="34" spans="1:4" x14ac:dyDescent="0.3">
      <c r="A34" s="4" t="s">
        <v>487</v>
      </c>
      <c r="B34" s="4" t="s">
        <v>589</v>
      </c>
      <c r="C34" s="4" t="s">
        <v>140</v>
      </c>
      <c r="D34" s="15" t="s">
        <v>590</v>
      </c>
    </row>
    <row r="35" spans="1:4" x14ac:dyDescent="0.3">
      <c r="A35" s="4" t="s">
        <v>490</v>
      </c>
      <c r="B35" s="4" t="s">
        <v>589</v>
      </c>
      <c r="C35" s="4" t="s">
        <v>112</v>
      </c>
      <c r="D35" s="15" t="s">
        <v>591</v>
      </c>
    </row>
    <row r="36" spans="1:4" ht="26.4" x14ac:dyDescent="0.3">
      <c r="A36" s="4" t="s">
        <v>489</v>
      </c>
      <c r="B36" s="4" t="s">
        <v>589</v>
      </c>
      <c r="C36" s="4" t="s">
        <v>140</v>
      </c>
      <c r="D36" s="15" t="s">
        <v>592</v>
      </c>
    </row>
    <row r="37" spans="1:4" x14ac:dyDescent="0.3">
      <c r="A37" s="4" t="s">
        <v>488</v>
      </c>
      <c r="B37" s="4" t="s">
        <v>589</v>
      </c>
      <c r="C37" s="4" t="s">
        <v>140</v>
      </c>
      <c r="D37" s="15" t="s">
        <v>593</v>
      </c>
    </row>
    <row r="38" spans="1:4" x14ac:dyDescent="0.3">
      <c r="A38" s="4" t="s">
        <v>491</v>
      </c>
      <c r="B38" s="4" t="s">
        <v>589</v>
      </c>
      <c r="C38" s="4" t="s">
        <v>140</v>
      </c>
      <c r="D38" s="15" t="s">
        <v>594</v>
      </c>
    </row>
    <row r="39" spans="1:4" x14ac:dyDescent="0.3">
      <c r="A39" s="4" t="s">
        <v>494</v>
      </c>
      <c r="B39" s="4" t="s">
        <v>589</v>
      </c>
      <c r="C39" s="4" t="s">
        <v>112</v>
      </c>
      <c r="D39" s="15" t="s">
        <v>595</v>
      </c>
    </row>
    <row r="40" spans="1:4" ht="26.4" x14ac:dyDescent="0.3">
      <c r="A40" s="4" t="s">
        <v>493</v>
      </c>
      <c r="B40" s="4" t="s">
        <v>589</v>
      </c>
      <c r="C40" s="4" t="s">
        <v>140</v>
      </c>
      <c r="D40" s="15" t="s">
        <v>596</v>
      </c>
    </row>
    <row r="41" spans="1:4" x14ac:dyDescent="0.3">
      <c r="A41" s="4" t="s">
        <v>492</v>
      </c>
      <c r="B41" s="4" t="s">
        <v>589</v>
      </c>
      <c r="C41" s="4" t="s">
        <v>140</v>
      </c>
      <c r="D41" s="15" t="s">
        <v>597</v>
      </c>
    </row>
    <row r="42" spans="1:4" x14ac:dyDescent="0.3">
      <c r="A42" s="4" t="s">
        <v>495</v>
      </c>
      <c r="B42" s="4" t="s">
        <v>589</v>
      </c>
      <c r="C42" s="4" t="s">
        <v>140</v>
      </c>
      <c r="D42" s="15" t="s">
        <v>598</v>
      </c>
    </row>
    <row r="43" spans="1:4" x14ac:dyDescent="0.3">
      <c r="A43" s="4" t="s">
        <v>498</v>
      </c>
      <c r="B43" s="4" t="s">
        <v>589</v>
      </c>
      <c r="C43" s="4" t="s">
        <v>112</v>
      </c>
      <c r="D43" s="15" t="s">
        <v>599</v>
      </c>
    </row>
    <row r="44" spans="1:4" ht="26.4" x14ac:dyDescent="0.3">
      <c r="A44" s="4" t="s">
        <v>497</v>
      </c>
      <c r="B44" s="4" t="s">
        <v>589</v>
      </c>
      <c r="C44" s="4" t="s">
        <v>140</v>
      </c>
      <c r="D44" s="15" t="s">
        <v>600</v>
      </c>
    </row>
    <row r="45" spans="1:4" x14ac:dyDescent="0.3">
      <c r="A45" s="4" t="s">
        <v>496</v>
      </c>
      <c r="B45" s="4" t="s">
        <v>589</v>
      </c>
      <c r="C45" s="4" t="s">
        <v>140</v>
      </c>
      <c r="D45" s="15" t="s">
        <v>601</v>
      </c>
    </row>
    <row r="46" spans="1:4" x14ac:dyDescent="0.3">
      <c r="A46" s="4" t="s">
        <v>499</v>
      </c>
      <c r="B46" s="4" t="s">
        <v>589</v>
      </c>
      <c r="C46" s="4" t="s">
        <v>140</v>
      </c>
      <c r="D46" s="15" t="s">
        <v>602</v>
      </c>
    </row>
    <row r="47" spans="1:4" x14ac:dyDescent="0.3">
      <c r="A47" s="4" t="s">
        <v>502</v>
      </c>
      <c r="B47" s="4" t="s">
        <v>589</v>
      </c>
      <c r="C47" s="4" t="s">
        <v>112</v>
      </c>
      <c r="D47" s="15" t="s">
        <v>603</v>
      </c>
    </row>
    <row r="48" spans="1:4" ht="26.4" x14ac:dyDescent="0.3">
      <c r="A48" s="4" t="s">
        <v>501</v>
      </c>
      <c r="B48" s="4" t="s">
        <v>589</v>
      </c>
      <c r="C48" s="4" t="s">
        <v>140</v>
      </c>
      <c r="D48" s="15" t="s">
        <v>604</v>
      </c>
    </row>
    <row r="49" spans="1:4" x14ac:dyDescent="0.3">
      <c r="A49" s="4" t="s">
        <v>500</v>
      </c>
      <c r="B49" s="4" t="s">
        <v>589</v>
      </c>
      <c r="C49" s="4" t="s">
        <v>140</v>
      </c>
      <c r="D49" s="15" t="s">
        <v>605</v>
      </c>
    </row>
    <row r="50" spans="1:4" x14ac:dyDescent="0.3">
      <c r="A50" s="4" t="s">
        <v>505</v>
      </c>
      <c r="B50" s="4" t="s">
        <v>589</v>
      </c>
      <c r="C50" s="4" t="s">
        <v>140</v>
      </c>
      <c r="D50" s="15" t="s">
        <v>606</v>
      </c>
    </row>
    <row r="51" spans="1:4" x14ac:dyDescent="0.3">
      <c r="A51" s="4" t="s">
        <v>508</v>
      </c>
      <c r="B51" s="4" t="s">
        <v>589</v>
      </c>
      <c r="C51" s="4" t="s">
        <v>112</v>
      </c>
      <c r="D51" s="15" t="s">
        <v>607</v>
      </c>
    </row>
    <row r="52" spans="1:4" ht="26.4" x14ac:dyDescent="0.3">
      <c r="A52" s="4" t="s">
        <v>507</v>
      </c>
      <c r="B52" s="4" t="s">
        <v>589</v>
      </c>
      <c r="C52" s="4" t="s">
        <v>140</v>
      </c>
      <c r="D52" s="15" t="s">
        <v>608</v>
      </c>
    </row>
    <row r="53" spans="1:4" x14ac:dyDescent="0.3">
      <c r="A53" s="4" t="s">
        <v>506</v>
      </c>
      <c r="B53" s="4" t="s">
        <v>589</v>
      </c>
      <c r="C53" s="4" t="s">
        <v>140</v>
      </c>
      <c r="D53" s="15" t="s">
        <v>609</v>
      </c>
    </row>
    <row r="54" spans="1:4" x14ac:dyDescent="0.3">
      <c r="A54" s="4" t="s">
        <v>509</v>
      </c>
      <c r="B54" s="4" t="s">
        <v>589</v>
      </c>
      <c r="C54" s="4" t="s">
        <v>140</v>
      </c>
      <c r="D54" s="15" t="s">
        <v>610</v>
      </c>
    </row>
    <row r="55" spans="1:4" x14ac:dyDescent="0.3">
      <c r="A55" s="4" t="s">
        <v>512</v>
      </c>
      <c r="B55" s="4" t="s">
        <v>589</v>
      </c>
      <c r="C55" s="4" t="s">
        <v>112</v>
      </c>
      <c r="D55" s="15" t="s">
        <v>611</v>
      </c>
    </row>
    <row r="56" spans="1:4" ht="26.4" x14ac:dyDescent="0.3">
      <c r="A56" s="4" t="s">
        <v>511</v>
      </c>
      <c r="B56" s="4" t="s">
        <v>589</v>
      </c>
      <c r="C56" s="4" t="s">
        <v>140</v>
      </c>
      <c r="D56" s="15" t="s">
        <v>612</v>
      </c>
    </row>
    <row r="57" spans="1:4" x14ac:dyDescent="0.3">
      <c r="A57" s="4" t="s">
        <v>510</v>
      </c>
      <c r="B57" s="4" t="s">
        <v>589</v>
      </c>
      <c r="C57" s="4" t="s">
        <v>140</v>
      </c>
      <c r="D57" s="15" t="s">
        <v>613</v>
      </c>
    </row>
    <row r="58" spans="1:4" x14ac:dyDescent="0.3">
      <c r="A58" s="4" t="s">
        <v>513</v>
      </c>
      <c r="B58" s="4" t="s">
        <v>589</v>
      </c>
      <c r="C58" s="4" t="s">
        <v>140</v>
      </c>
      <c r="D58" s="15" t="s">
        <v>614</v>
      </c>
    </row>
    <row r="59" spans="1:4" x14ac:dyDescent="0.3">
      <c r="A59" s="4" t="s">
        <v>516</v>
      </c>
      <c r="B59" s="4" t="s">
        <v>589</v>
      </c>
      <c r="C59" s="4" t="s">
        <v>112</v>
      </c>
      <c r="D59" s="15" t="s">
        <v>615</v>
      </c>
    </row>
    <row r="60" spans="1:4" ht="26.4" x14ac:dyDescent="0.3">
      <c r="A60" s="4" t="s">
        <v>515</v>
      </c>
      <c r="B60" s="4" t="s">
        <v>589</v>
      </c>
      <c r="C60" s="4" t="s">
        <v>140</v>
      </c>
      <c r="D60" s="15" t="s">
        <v>616</v>
      </c>
    </row>
    <row r="61" spans="1:4" x14ac:dyDescent="0.3">
      <c r="A61" s="4" t="s">
        <v>514</v>
      </c>
      <c r="B61" s="4" t="s">
        <v>589</v>
      </c>
      <c r="C61" s="4" t="s">
        <v>140</v>
      </c>
      <c r="D61" s="15" t="s">
        <v>617</v>
      </c>
    </row>
    <row r="62" spans="1:4" x14ac:dyDescent="0.3">
      <c r="A62" s="4" t="s">
        <v>470</v>
      </c>
      <c r="B62" s="4" t="s">
        <v>618</v>
      </c>
      <c r="C62" s="4" t="s">
        <v>140</v>
      </c>
      <c r="D62" s="15" t="s">
        <v>619</v>
      </c>
    </row>
    <row r="63" spans="1:4" x14ac:dyDescent="0.3">
      <c r="A63" s="4" t="s">
        <v>471</v>
      </c>
      <c r="B63" s="4" t="s">
        <v>618</v>
      </c>
      <c r="C63" s="4" t="s">
        <v>112</v>
      </c>
      <c r="D63" s="15" t="s">
        <v>620</v>
      </c>
    </row>
    <row r="64" spans="1:4" ht="26.4" x14ac:dyDescent="0.3">
      <c r="A64" s="4" t="s">
        <v>235</v>
      </c>
      <c r="B64" s="4" t="s">
        <v>618</v>
      </c>
      <c r="C64" s="4" t="s">
        <v>140</v>
      </c>
      <c r="D64" s="15" t="s">
        <v>621</v>
      </c>
    </row>
    <row r="65" spans="1:4" x14ac:dyDescent="0.3">
      <c r="A65" s="4" t="s">
        <v>257</v>
      </c>
      <c r="B65" s="4" t="s">
        <v>618</v>
      </c>
      <c r="C65" s="4" t="s">
        <v>140</v>
      </c>
      <c r="D65" s="15" t="s">
        <v>622</v>
      </c>
    </row>
    <row r="66" spans="1:4" ht="26.4" x14ac:dyDescent="0.3">
      <c r="A66" s="4" t="s">
        <v>231</v>
      </c>
      <c r="B66" s="4" t="s">
        <v>618</v>
      </c>
      <c r="C66" s="4" t="s">
        <v>578</v>
      </c>
      <c r="D66" s="15" t="s">
        <v>623</v>
      </c>
    </row>
    <row r="67" spans="1:4" x14ac:dyDescent="0.3">
      <c r="A67" s="4" t="s">
        <v>469</v>
      </c>
      <c r="B67" s="4" t="s">
        <v>618</v>
      </c>
      <c r="C67" s="4" t="s">
        <v>578</v>
      </c>
      <c r="D67" s="15" t="s">
        <v>624</v>
      </c>
    </row>
    <row r="68" spans="1:4" x14ac:dyDescent="0.3">
      <c r="A68" s="4" t="s">
        <v>232</v>
      </c>
      <c r="B68" s="4" t="s">
        <v>618</v>
      </c>
      <c r="C68" s="4" t="s">
        <v>578</v>
      </c>
      <c r="D68" s="15" t="s">
        <v>625</v>
      </c>
    </row>
    <row r="69" spans="1:4" x14ac:dyDescent="0.3">
      <c r="A69" s="4" t="s">
        <v>230</v>
      </c>
      <c r="B69" s="4" t="s">
        <v>618</v>
      </c>
      <c r="C69" s="4" t="s">
        <v>578</v>
      </c>
      <c r="D69" s="15" t="s">
        <v>626</v>
      </c>
    </row>
    <row r="70" spans="1:4" x14ac:dyDescent="0.3">
      <c r="A70" s="4" t="s">
        <v>357</v>
      </c>
      <c r="B70" s="4" t="s">
        <v>618</v>
      </c>
      <c r="C70" s="4" t="s">
        <v>578</v>
      </c>
      <c r="D70" s="15" t="s">
        <v>627</v>
      </c>
    </row>
    <row r="71" spans="1:4" ht="26.4" x14ac:dyDescent="0.3">
      <c r="A71" s="4" t="s">
        <v>229</v>
      </c>
      <c r="B71" s="4" t="s">
        <v>618</v>
      </c>
      <c r="C71" s="4" t="s">
        <v>578</v>
      </c>
      <c r="D71" s="15" t="s">
        <v>628</v>
      </c>
    </row>
    <row r="72" spans="1:4" x14ac:dyDescent="0.3">
      <c r="A72" s="4" t="s">
        <v>468</v>
      </c>
      <c r="B72" s="4" t="s">
        <v>618</v>
      </c>
      <c r="C72" s="4" t="s">
        <v>578</v>
      </c>
      <c r="D72" s="15" t="s">
        <v>629</v>
      </c>
    </row>
    <row r="73" spans="1:4" x14ac:dyDescent="0.3">
      <c r="A73" s="4" t="s">
        <v>465</v>
      </c>
      <c r="B73" s="4" t="s">
        <v>630</v>
      </c>
      <c r="C73" s="4" t="s">
        <v>561</v>
      </c>
      <c r="D73" s="15" t="s">
        <v>631</v>
      </c>
    </row>
    <row r="74" spans="1:4" x14ac:dyDescent="0.3">
      <c r="A74" s="4" t="s">
        <v>226</v>
      </c>
      <c r="B74" s="4" t="s">
        <v>630</v>
      </c>
      <c r="C74" s="4" t="s">
        <v>112</v>
      </c>
      <c r="D74" s="15" t="s">
        <v>632</v>
      </c>
    </row>
    <row r="75" spans="1:4" x14ac:dyDescent="0.3">
      <c r="A75" s="4" t="s">
        <v>293</v>
      </c>
      <c r="B75" s="4" t="s">
        <v>630</v>
      </c>
      <c r="C75" s="4" t="s">
        <v>633</v>
      </c>
      <c r="D75" s="15" t="s">
        <v>634</v>
      </c>
    </row>
    <row r="76" spans="1:4" x14ac:dyDescent="0.3">
      <c r="A76" s="4" t="s">
        <v>255</v>
      </c>
      <c r="B76" s="4" t="s">
        <v>630</v>
      </c>
      <c r="C76" s="4" t="s">
        <v>112</v>
      </c>
      <c r="D76" s="15" t="s">
        <v>635</v>
      </c>
    </row>
    <row r="77" spans="1:4" x14ac:dyDescent="0.3">
      <c r="A77" s="4" t="s">
        <v>457</v>
      </c>
      <c r="B77" s="4" t="s">
        <v>630</v>
      </c>
      <c r="C77" s="4" t="s">
        <v>140</v>
      </c>
      <c r="D77" s="15" t="s">
        <v>636</v>
      </c>
    </row>
    <row r="78" spans="1:4" ht="26.4" x14ac:dyDescent="0.3">
      <c r="A78" s="4" t="s">
        <v>38</v>
      </c>
      <c r="B78" s="4" t="s">
        <v>630</v>
      </c>
      <c r="C78" s="4" t="s">
        <v>561</v>
      </c>
      <c r="D78" s="15" t="s">
        <v>637</v>
      </c>
    </row>
    <row r="79" spans="1:4" x14ac:dyDescent="0.3">
      <c r="A79" s="4" t="s">
        <v>463</v>
      </c>
      <c r="B79" s="4" t="s">
        <v>630</v>
      </c>
      <c r="C79" s="4" t="s">
        <v>112</v>
      </c>
      <c r="D79" s="15" t="s">
        <v>638</v>
      </c>
    </row>
    <row r="80" spans="1:4" x14ac:dyDescent="0.3">
      <c r="A80" s="4" t="s">
        <v>292</v>
      </c>
      <c r="B80" s="4" t="s">
        <v>630</v>
      </c>
      <c r="C80" s="4" t="s">
        <v>633</v>
      </c>
      <c r="D80" s="15" t="s">
        <v>639</v>
      </c>
    </row>
    <row r="81" spans="1:4" ht="26.4" x14ac:dyDescent="0.3">
      <c r="A81" s="4" t="s">
        <v>39</v>
      </c>
      <c r="B81" s="4" t="s">
        <v>630</v>
      </c>
      <c r="C81" s="4" t="s">
        <v>561</v>
      </c>
      <c r="D81" s="15" t="s">
        <v>640</v>
      </c>
    </row>
    <row r="82" spans="1:4" ht="26.4" x14ac:dyDescent="0.3">
      <c r="A82" s="4" t="s">
        <v>456</v>
      </c>
      <c r="B82" s="4" t="s">
        <v>630</v>
      </c>
      <c r="C82" s="4" t="s">
        <v>561</v>
      </c>
      <c r="D82" s="15" t="s">
        <v>641</v>
      </c>
    </row>
    <row r="83" spans="1:4" x14ac:dyDescent="0.3">
      <c r="A83" s="4" t="s">
        <v>467</v>
      </c>
      <c r="B83" s="4" t="s">
        <v>630</v>
      </c>
      <c r="C83" s="4" t="s">
        <v>112</v>
      </c>
      <c r="D83" s="15" t="s">
        <v>642</v>
      </c>
    </row>
    <row r="84" spans="1:4" x14ac:dyDescent="0.3">
      <c r="A84" s="4" t="s">
        <v>466</v>
      </c>
      <c r="B84" s="4" t="s">
        <v>630</v>
      </c>
      <c r="C84" s="4" t="s">
        <v>112</v>
      </c>
      <c r="D84" s="15" t="s">
        <v>643</v>
      </c>
    </row>
    <row r="85" spans="1:4" x14ac:dyDescent="0.3">
      <c r="A85" s="4" t="s">
        <v>227</v>
      </c>
      <c r="B85" s="4" t="s">
        <v>630</v>
      </c>
      <c r="C85" s="4" t="s">
        <v>112</v>
      </c>
      <c r="D85" s="15" t="s">
        <v>644</v>
      </c>
    </row>
    <row r="86" spans="1:4" x14ac:dyDescent="0.3">
      <c r="A86" s="4" t="s">
        <v>519</v>
      </c>
      <c r="B86" s="4" t="s">
        <v>630</v>
      </c>
      <c r="C86" s="4" t="s">
        <v>112</v>
      </c>
      <c r="D86" s="15" t="s">
        <v>645</v>
      </c>
    </row>
    <row r="87" spans="1:4" x14ac:dyDescent="0.3">
      <c r="A87" s="4" t="s">
        <v>486</v>
      </c>
      <c r="B87" s="4" t="s">
        <v>630</v>
      </c>
      <c r="C87" s="4" t="s">
        <v>112</v>
      </c>
      <c r="D87" s="15" t="s">
        <v>646</v>
      </c>
    </row>
    <row r="88" spans="1:4" ht="26.4" x14ac:dyDescent="0.3">
      <c r="A88" s="4" t="s">
        <v>455</v>
      </c>
      <c r="B88" s="4" t="s">
        <v>630</v>
      </c>
      <c r="C88" s="4" t="s">
        <v>561</v>
      </c>
      <c r="D88" s="15" t="s">
        <v>647</v>
      </c>
    </row>
    <row r="89" spans="1:4" x14ac:dyDescent="0.3">
      <c r="A89" s="4" t="s">
        <v>462</v>
      </c>
      <c r="B89" s="4" t="s">
        <v>630</v>
      </c>
      <c r="C89" s="4" t="s">
        <v>112</v>
      </c>
      <c r="D89" s="15" t="s">
        <v>648</v>
      </c>
    </row>
    <row r="90" spans="1:4" x14ac:dyDescent="0.3">
      <c r="A90" s="4" t="s">
        <v>464</v>
      </c>
      <c r="B90" s="4" t="s">
        <v>630</v>
      </c>
      <c r="C90" s="4" t="s">
        <v>140</v>
      </c>
      <c r="D90" s="15" t="s">
        <v>649</v>
      </c>
    </row>
    <row r="91" spans="1:4" ht="26.4" x14ac:dyDescent="0.3">
      <c r="A91" s="4" t="s">
        <v>291</v>
      </c>
      <c r="B91" s="4" t="s">
        <v>630</v>
      </c>
      <c r="C91" s="4" t="s">
        <v>112</v>
      </c>
      <c r="D91" s="15" t="s">
        <v>650</v>
      </c>
    </row>
    <row r="92" spans="1:4" ht="26.4" x14ac:dyDescent="0.3">
      <c r="A92" s="4" t="s">
        <v>290</v>
      </c>
      <c r="B92" s="4" t="s">
        <v>651</v>
      </c>
      <c r="C92" s="4" t="s">
        <v>561</v>
      </c>
      <c r="D92" s="15" t="s">
        <v>652</v>
      </c>
    </row>
    <row r="93" spans="1:4" x14ac:dyDescent="0.3">
      <c r="A93" s="4" t="s">
        <v>503</v>
      </c>
      <c r="B93" s="4" t="s">
        <v>651</v>
      </c>
      <c r="C93" s="4" t="s">
        <v>112</v>
      </c>
      <c r="D93" s="15" t="s">
        <v>653</v>
      </c>
    </row>
    <row r="94" spans="1:4" x14ac:dyDescent="0.3">
      <c r="A94" s="4" t="s">
        <v>256</v>
      </c>
      <c r="B94" s="4" t="s">
        <v>651</v>
      </c>
      <c r="C94" s="4" t="s">
        <v>633</v>
      </c>
      <c r="D94" s="15" t="s">
        <v>654</v>
      </c>
    </row>
    <row r="95" spans="1:4" x14ac:dyDescent="0.3">
      <c r="A95" s="4" t="s">
        <v>504</v>
      </c>
      <c r="B95" s="4" t="s">
        <v>651</v>
      </c>
      <c r="C95" s="4" t="s">
        <v>112</v>
      </c>
      <c r="D95" s="15" t="s">
        <v>655</v>
      </c>
    </row>
    <row r="96" spans="1:4" x14ac:dyDescent="0.3">
      <c r="A96" s="4" t="s">
        <v>518</v>
      </c>
      <c r="B96" s="4" t="s">
        <v>651</v>
      </c>
      <c r="C96" s="4" t="s">
        <v>633</v>
      </c>
      <c r="D96" s="15" t="s">
        <v>656</v>
      </c>
    </row>
    <row r="97" spans="1:4" x14ac:dyDescent="0.3">
      <c r="A97" s="4" t="s">
        <v>294</v>
      </c>
      <c r="B97" s="4" t="s">
        <v>651</v>
      </c>
      <c r="C97" s="4" t="s">
        <v>633</v>
      </c>
      <c r="D97" s="15" t="s">
        <v>657</v>
      </c>
    </row>
    <row r="98" spans="1:4" x14ac:dyDescent="0.3">
      <c r="A98" s="4" t="s">
        <v>520</v>
      </c>
      <c r="B98" s="4" t="s">
        <v>651</v>
      </c>
      <c r="C98" s="4" t="s">
        <v>112</v>
      </c>
      <c r="D98" s="15" t="s">
        <v>658</v>
      </c>
    </row>
    <row r="99" spans="1:4" x14ac:dyDescent="0.3">
      <c r="A99" s="4" t="s">
        <v>517</v>
      </c>
      <c r="B99" s="4" t="s">
        <v>651</v>
      </c>
      <c r="C99" s="4" t="s">
        <v>112</v>
      </c>
      <c r="D99" s="15" t="s">
        <v>659</v>
      </c>
    </row>
    <row r="100" spans="1:4" x14ac:dyDescent="0.3">
      <c r="A100" s="4" t="s">
        <v>481</v>
      </c>
      <c r="B100" s="4" t="s">
        <v>660</v>
      </c>
      <c r="C100" s="4" t="s">
        <v>140</v>
      </c>
      <c r="D100" s="15" t="s">
        <v>661</v>
      </c>
    </row>
    <row r="101" spans="1:4" x14ac:dyDescent="0.3">
      <c r="A101" s="4" t="s">
        <v>473</v>
      </c>
      <c r="B101" s="4" t="s">
        <v>660</v>
      </c>
      <c r="C101" s="4" t="s">
        <v>140</v>
      </c>
      <c r="D101" s="15" t="s">
        <v>662</v>
      </c>
    </row>
    <row r="102" spans="1:4" x14ac:dyDescent="0.3">
      <c r="A102" s="4" t="s">
        <v>472</v>
      </c>
      <c r="B102" s="4" t="s">
        <v>660</v>
      </c>
      <c r="C102" s="4" t="s">
        <v>140</v>
      </c>
      <c r="D102" s="15" t="s">
        <v>663</v>
      </c>
    </row>
    <row r="103" spans="1:4" x14ac:dyDescent="0.3">
      <c r="A103" s="4" t="s">
        <v>474</v>
      </c>
      <c r="B103" s="4" t="s">
        <v>660</v>
      </c>
      <c r="C103" s="4" t="s">
        <v>140</v>
      </c>
      <c r="D103" s="15" t="s">
        <v>664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Experiment design</vt:lpstr>
      <vt:lpstr>Cost model &amp; tiers</vt:lpstr>
      <vt:lpstr>Provenance &amp; limits</vt:lpstr>
      <vt:lpstr>exp1 Concurrency</vt:lpstr>
      <vt:lpstr>exp2 Delay</vt:lpstr>
      <vt:lpstr>exp4 Failover</vt:lpstr>
      <vt:lpstr>Recovery per fault</vt:lpstr>
      <vt:lpstr>exp7 Mode check</vt:lpstr>
      <vt:lpstr>exp1s Report scale</vt:lpstr>
      <vt:lpstr>Engine comparison</vt:lpstr>
      <vt:lpstr>All runs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Patton, John</cp:lastModifiedBy>
  <dcterms:created xsi:type="dcterms:W3CDTF">2026-10-30T00:48:31Z</dcterms:created>
  <dcterms:modified xsi:type="dcterms:W3CDTF">2026-10-30T00:49:00Z</dcterms:modified>
</cp:coreProperties>
</file>